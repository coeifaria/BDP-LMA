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f001\Documents\LaborMarketAssessments\BDP-LMA\"/>
    </mc:Choice>
  </mc:AlternateContent>
  <xr:revisionPtr revIDLastSave="0" documentId="13_ncr:1_{5FEF18AA-1B5A-4A77-8519-E7F2A52B7D00}" xr6:coauthVersionLast="47" xr6:coauthVersionMax="47" xr10:uidLastSave="{00000000-0000-0000-0000-000000000000}"/>
  <bookViews>
    <workbookView xWindow="-120" yWindow="-120" windowWidth="38640" windowHeight="21120" firstSheet="1" activeTab="8" xr2:uid="{00000000-000D-0000-FFFF-FFFF00000000}"/>
  </bookViews>
  <sheets>
    <sheet name="DynamicPath" sheetId="58" r:id="rId1"/>
    <sheet name="Exhibit2" sheetId="74" r:id="rId2"/>
    <sheet name="Exhibit 2 - Ed. Attainment" sheetId="8" r:id="rId3"/>
    <sheet name="Exhibit7" sheetId="78" r:id="rId4"/>
    <sheet name="Exhibit 7 - Job Count" sheetId="79" r:id="rId5"/>
    <sheet name="Exhibit9" sheetId="72" r:id="rId6"/>
    <sheet name="Exhibit 9 - Percentage Change" sheetId="37" r:id="rId7"/>
    <sheet name="Exhibit13" sheetId="69" r:id="rId8"/>
    <sheet name="Exhibit 13 - CVML WageChart" sheetId="33" r:id="rId9"/>
  </sheets>
  <externalReferences>
    <externalReference r:id="rId10"/>
    <externalReference r:id="rId11"/>
  </externalReferences>
  <definedNames>
    <definedName name="_Regression_Int" hidden="1">1</definedName>
    <definedName name="ACwvu.Hist." localSheetId="2" hidden="1">#REF!</definedName>
    <definedName name="ACwvu.Hist." hidden="1">#REF!</definedName>
    <definedName name="ACwvu.OthrCalQtr_AnlChg." localSheetId="2" hidden="1">#REF!</definedName>
    <definedName name="ACwvu.OthrCalQtr_AnlChg." hidden="1">#REF!</definedName>
    <definedName name="ACwvu.PerIncQtr_AnlChg." localSheetId="2" hidden="1">#REF!</definedName>
    <definedName name="ACwvu.PerIncQtr_AnlChg." hidden="1">#REF!</definedName>
    <definedName name="ACwvu.Qrtrly." localSheetId="2" hidden="1">'[1]dept finance data'!#REF!</definedName>
    <definedName name="ACwvu.Qrtrly." hidden="1">'[1]dept finance data'!#REF!</definedName>
    <definedName name="ACwvu.SelCalQtr_AnlChg." localSheetId="2" hidden="1">#REF!</definedName>
    <definedName name="ACwvu.SelCalQtr_AnlChg." hidden="1">#REF!</definedName>
    <definedName name="ACwvu.SelectUSQtr_AnnlChg." localSheetId="2" hidden="1">#REF!</definedName>
    <definedName name="ACwvu.SelectUSQtr_AnnlChg." hidden="1">#REF!</definedName>
    <definedName name="crosswalk" localSheetId="2">#REF!</definedName>
    <definedName name="crosswalk">#REF!</definedName>
    <definedName name="Cwvu.Annual." localSheetId="2" hidden="1">'[1]dept finance data'!#REF!,'[1]dept finance data'!$A$81:$IV$82</definedName>
    <definedName name="Cwvu.Annual." hidden="1">'[1]dept finance data'!#REF!,'[1]dept finance data'!$A$81:$IV$82</definedName>
    <definedName name="Cwvu.Hist." localSheetId="2" hidden="1">'[1]dept finance data'!#REF!,'[1]dept finance data'!$A$81:$IV$82</definedName>
    <definedName name="Cwvu.Hist." hidden="1">'[1]dept finance data'!#REF!,'[1]dept finance data'!$A$81:$IV$82</definedName>
    <definedName name="Cwvu.Qrtrly." localSheetId="2" hidden="1">'[1]dept finance data'!#REF!,'[1]dept finance data'!$A$81:$IV$82</definedName>
    <definedName name="Cwvu.Qrtrly." hidden="1">'[1]dept finance data'!#REF!,'[1]dept finance data'!$A$81:$IV$82</definedName>
    <definedName name="delete" localSheetId="2" hidden="1">{"Annual",#N/A,FALSE,"Long Run";"SelectUSQtr_AnnlChg",#N/A,FALSE,"Long Run";"SelCalQtr_AnlChg",#N/A,FALSE,"Long Run";"PerIncQtr_AnlChg",#N/A,FALSE,"Long Run";"OthrCalQtr_AnlChg",#N/A,FALSE,"Long Run"}</definedName>
    <definedName name="delete" hidden="1">{"Annual",#N/A,FALSE,"Long Run";"SelectUSQtr_AnnlChg",#N/A,FALSE,"Long Run";"SelCalQtr_AnlChg",#N/A,FALSE,"Long Run";"PerIncQtr_AnlChg",#N/A,FALSE,"Long Run";"OthrCalQtr_AnlChg",#N/A,FALSE,"Long Run"}</definedName>
    <definedName name="delete2" localSheetId="2" hidden="1">{"Annual",#N/A,FALSE,"Long Run";"SelectUSQtr_AnnlChg",#N/A,FALSE,"Long Run";"SelCalQtr_AnlChg",#N/A,FALSE,"Long Run";"PerIncQtr_AnlChg",#N/A,FALSE,"Long Run";"OthrCalQtr_AnlChg",#N/A,FALSE,"Long Run"}</definedName>
    <definedName name="delete2" hidden="1">{"Annual",#N/A,FALSE,"Long Run";"SelectUSQtr_AnnlChg",#N/A,FALSE,"Long Run";"SelCalQtr_AnlChg",#N/A,FALSE,"Long Run";"PerIncQtr_AnlChg",#N/A,FALSE,"Long Run";"OthrCalQtr_AnlChg",#N/A,FALSE,"Long Run"}</definedName>
    <definedName name="dof_annual" localSheetId="2" hidden="1">[2]DOF_state_Quarterly!#REF!,[2]DOF_state_Quarterly!$A$81:$IV$82</definedName>
    <definedName name="dof_annual" hidden="1">[2]DOF_state_Quarterly!#REF!,[2]DOF_state_Quarterly!$A$81:$IV$82</definedName>
    <definedName name="dof_delete" localSheetId="2" hidden="1">{"Annual",#N/A,FALSE,"Long Run";"SelectUSQtr_AnnlChg",#N/A,FALSE,"Long Run";"SelCalQtr_AnlChg",#N/A,FALSE,"Long Run";"PerIncQtr_AnlChg",#N/A,FALSE,"Long Run";"OthrCalQtr_AnlChg",#N/A,FALSE,"Long Run"}</definedName>
    <definedName name="dof_delete" hidden="1">{"Annual",#N/A,FALSE,"Long Run";"SelectUSQtr_AnnlChg",#N/A,FALSE,"Long Run";"SelCalQtr_AnlChg",#N/A,FALSE,"Long Run";"PerIncQtr_AnlChg",#N/A,FALSE,"Long Run";"OthrCalQtr_AnlChg",#N/A,FALSE,"Long Run"}</definedName>
    <definedName name="dof_delete2" localSheetId="2" hidden="1">{"Annual",#N/A,FALSE,"Long Run";"SelectUSQtr_AnnlChg",#N/A,FALSE,"Long Run";"SelCalQtr_AnlChg",#N/A,FALSE,"Long Run";"PerIncQtr_AnlChg",#N/A,FALSE,"Long Run";"OthrCalQtr_AnlChg",#N/A,FALSE,"Long Run"}</definedName>
    <definedName name="dof_delete2" hidden="1">{"Annual",#N/A,FALSE,"Long Run";"SelectUSQtr_AnnlChg",#N/A,FALSE,"Long Run";"SelCalQtr_AnlChg",#N/A,FALSE,"Long Run";"PerIncQtr_AnlChg",#N/A,FALSE,"Long Run";"OthrCalQtr_AnlChg",#N/A,FALSE,"Long Run"}</definedName>
    <definedName name="dof_hist" localSheetId="2" hidden="1">[2]DOF_state_Quarterly!#REF!,[2]DOF_state_Quarterly!$A$81:$IV$82</definedName>
    <definedName name="dof_hist" hidden="1">[2]DOF_state_Quarterly!#REF!,[2]DOF_state_Quarterly!$A$81:$IV$82</definedName>
    <definedName name="dof_quarterly" localSheetId="2" hidden="1">[2]DOF_state_Quarterly!#REF!</definedName>
    <definedName name="dof_quarterly" hidden="1">[2]DOF_state_Quarterly!#REF!</definedName>
    <definedName name="dof_quarterly2" localSheetId="2" hidden="1">[2]DOF_state_Quarterly!#REF!,[2]DOF_state_Quarterly!$A$81:$IV$82</definedName>
    <definedName name="dof_quarterly2" hidden="1">[2]DOF_state_Quarterly!#REF!,[2]DOF_state_Quarterly!$A$81:$IV$82</definedName>
    <definedName name="ExternalData_1" localSheetId="7" hidden="1">Exhibit13!$A$1:$D$2</definedName>
    <definedName name="ExternalData_2" localSheetId="1" hidden="1">Exhibit2!$A$1:$E$2</definedName>
    <definedName name="ExternalData_2" localSheetId="3" hidden="1">Exhibit7!$A$1:$L$2</definedName>
    <definedName name="ExternalData_2" localSheetId="5" hidden="1">Exhibit9!$A$1:$L$3</definedName>
    <definedName name="FromArray_1" localSheetId="4">_xlfn.ANCHORARRAY('Exhibit 7 - Job Count'!#REF!)</definedName>
    <definedName name="FromArray_1">_xlfn.ANCHORARRAY('Exhibit 9 - Percentage Change'!$A$1)</definedName>
    <definedName name="FromArray_2">_xlfn.ANCHORARRAY('Exhibit 2 - Ed. Attainment'!$A$21)</definedName>
    <definedName name="Rwvu.Annual." localSheetId="2" hidden="1">'[1]dept finance data'!#REF!</definedName>
    <definedName name="Rwvu.Annual." hidden="1">'[1]dept finance data'!#REF!</definedName>
    <definedName name="Rwvu.Hist." localSheetId="2" hidden="1">'[1]dept finance data'!#REF!</definedName>
    <definedName name="Rwvu.Hist." hidden="1">'[1]dept finance data'!#REF!</definedName>
    <definedName name="Rwvu.Qrtrly." localSheetId="2" hidden="1">'[1]dept finance data'!#REF!</definedName>
    <definedName name="Rwvu.Qrtrly." hidden="1">'[1]dept finance data'!#REF!</definedName>
    <definedName name="s" localSheetId="2" hidden="1">{"Annual",#N/A,FALSE,"Long Run";"SelectUSQtr_AnnlChg",#N/A,FALSE,"Long Run";"SelCalQtr_AnlChg",#N/A,FALSE,"Long Run";"PerIncQtr_AnlChg",#N/A,FALSE,"Long Run";"OthrCalQtr_AnlChg",#N/A,FALSE,"Long Run"}</definedName>
    <definedName name="s" hidden="1">{"Annual",#N/A,FALSE,"Long Run";"SelectUSQtr_AnnlChg",#N/A,FALSE,"Long Run";"SelCalQtr_AnlChg",#N/A,FALSE,"Long Run";"PerIncQtr_AnlChg",#N/A,FALSE,"Long Run";"OthrCalQtr_AnlChg",#N/A,FALSE,"Long Run"}</definedName>
    <definedName name="sa" localSheetId="2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sa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sw" localSheetId="2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sw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Swvu.Hist." localSheetId="2" hidden="1">#REF!</definedName>
    <definedName name="Swvu.Hist." hidden="1">#REF!</definedName>
    <definedName name="Swvu.OthrCalQtr_AnlChg." localSheetId="2" hidden="1">#REF!</definedName>
    <definedName name="Swvu.OthrCalQtr_AnlChg." hidden="1">#REF!</definedName>
    <definedName name="Swvu.PerIncQtr_AnlChg." localSheetId="2" hidden="1">#REF!</definedName>
    <definedName name="Swvu.PerIncQtr_AnlChg." hidden="1">#REF!</definedName>
    <definedName name="Swvu.Qrtrly." localSheetId="2" hidden="1">'[1]dept finance data'!#REF!</definedName>
    <definedName name="Swvu.Qrtrly." hidden="1">'[1]dept finance data'!#REF!</definedName>
    <definedName name="Swvu.SelCalQtr_AnlChg." localSheetId="2" hidden="1">#REF!</definedName>
    <definedName name="Swvu.SelCalQtr_AnlChg." hidden="1">#REF!</definedName>
    <definedName name="Swvu.SelectUSQtr_AnnlChg." localSheetId="2" hidden="1">#REF!</definedName>
    <definedName name="Swvu.SelectUSQtr_AnnlChg." hidden="1">#REF!</definedName>
    <definedName name="wrn.FullReport." localSheetId="2" hidden="1">{"Annual",#N/A,FALSE,"Long Run";"SelectUSQtr_AnnlChg",#N/A,FALSE,"Long Run";"SelCalQtr_AnlChg",#N/A,FALSE,"Long Run";"PerIncQtr_AnlChg",#N/A,FALSE,"Long Run";"OthrCalQtr_AnlChg",#N/A,FALSE,"Long Run"}</definedName>
    <definedName name="wrn.FullReport." hidden="1">{"Annual",#N/A,FALSE,"Long Run";"SelectUSQtr_AnnlChg",#N/A,FALSE,"Long Run";"SelCalQtr_AnlChg",#N/A,FALSE,"Long Run";"PerIncQtr_AnlChg",#N/A,FALSE,"Long Run";"OthrCalQtr_AnlChg",#N/A,FALSE,"Long Run"}</definedName>
    <definedName name="wvu.Hist." localSheetId="2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wvu.Hist.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wvu.OthrCalQtr_AnlChg." localSheetId="2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wvu.OthrCalQtr_AnlChg.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wvu.PerIncQtr_AnlChg." localSheetId="2" hidden="1">{TRUE,TRUE,-2.75,-17,604.5,345.75,FALSE,FALSE,TRUE,TRUE,0,1,23,1,217,1,14,4,TRUE,TRUE,3,TRUE,1,TRUE,75,"Swvu.PerIncQtr_AnlChg.","ACwvu.PerIncQtr_AnlChg.",#N/A,FALSE,FALSE,0.32,0.5,0.66,0.5,2,"&amp;C&amp;""Arial Rounded MT Bold,Bold"" 1999-2000 BUDGET FORECASTNovember, 1998&amp;R&amp;""Arial Rounded MT Bold,Bold""CALIFORNIA DEPARTMENT OF  FINANCE ","",FALSE,FALSE,FALSE,FALSE,2,100,#N/A,#N/A,"=R58C24:R228C36","=C1,R10:R14",#N/A,#N/A,FALSE,FALSE,TRUE,1,#N/A,#N/A,FALSE,FALSE,TRUE,TRUE,TRUE}</definedName>
    <definedName name="wvu.PerIncQtr_AnlChg." hidden="1">{TRUE,TRUE,-2.75,-17,604.5,345.75,FALSE,FALSE,TRUE,TRUE,0,1,23,1,217,1,14,4,TRUE,TRUE,3,TRUE,1,TRUE,75,"Swvu.PerIncQtr_AnlChg.","ACwvu.PerIncQtr_AnlChg.",#N/A,FALSE,FALSE,0.32,0.5,0.66,0.5,2,"&amp;C&amp;""Arial Rounded MT Bold,Bold"" 1999-2000 BUDGET FORECASTNovember, 1998&amp;R&amp;""Arial Rounded MT Bold,Bold""CALIFORNIA DEPARTMENT OF  FINANCE ","",FALSE,FALSE,FALSE,FALSE,2,100,#N/A,#N/A,"=R58C24:R228C36","=C1,R10:R14",#N/A,#N/A,FALSE,FALSE,TRUE,1,#N/A,#N/A,FALSE,FALSE,TRUE,TRUE,TRUE}</definedName>
    <definedName name="wvu.Qrtrly." localSheetId="2" hidden="1">{TRUE,TRUE,-2.75,-17,604.5,345.75,FALSE,TRUE,TRUE,TRUE,0,19,#N/A,1,#N/A,17.9642857142857,28.9375,1,FALSE,FALSE,3,TRUE,1,FALSE,75,"Swvu.Qrtrly.","ACwvu.Qrtrly.",#N/A,FALSE,FALSE,0.25,0.25,1,1,2,"&amp;L&amp;""Arial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FINANCE","",TRUE,FALSE,FALSE,FALSE,2,100,#N/A,#N/A,"=R1C22:R36C33","=C1:C5","Rwvu.Qrtrly.","Cwvu.Qrtrly.",FALSE,FALSE,FALSE,1,#N/A,#N/A,FALSE,FALSE,TRUE,TRUE,TRUE}</definedName>
    <definedName name="wvu.Qrtrly." hidden="1">{TRUE,TRUE,-2.75,-17,604.5,345.75,FALSE,TRUE,TRUE,TRUE,0,19,#N/A,1,#N/A,17.9642857142857,28.9375,1,FALSE,FALSE,3,TRUE,1,FALSE,75,"Swvu.Qrtrly.","ACwvu.Qrtrly.",#N/A,FALSE,FALSE,0.25,0.25,1,1,2,"&amp;L&amp;""Arial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FINANCE","",TRUE,FALSE,FALSE,FALSE,2,100,#N/A,#N/A,"=R1C22:R36C33","=C1:C5","Rwvu.Qrtrly.","Cwvu.Qrtrly.",FALSE,FALSE,FALSE,1,#N/A,#N/A,FALSE,FALSE,TRUE,TRUE,TRUE}</definedName>
    <definedName name="wvu.SelCalQtr_AnlChg." localSheetId="2" hidden="1">{TRUE,TRUE,-2.75,-17,604.5,345.75,FALSE,FALSE,TRUE,TRUE,0,1,12,1,40,1,14,4,TRUE,TRUE,3,TRUE,1,TRUE,75,"Swvu.SelCalQtr_AnlChg.","ACwvu.SelCalQtr_AnlChg.",#N/A,FALSE,FALSE,0.32,0.5,0.66,0.5,2,"&amp;C&amp;""Arial Rounded MT Bold,Bold"" 1999-2000 BUDGET FORECASTNovember, 1998&amp;R&amp;""Arial Rounded MT Bold,Bold""CALIFORNIA DEPARTMENT OF  FINANCE ","",FALSE,FALSE,FALSE,FALSE,2,100,#N/A,#N/A,"=R58C14:R228C23","=C1,R10:R14",#N/A,#N/A,FALSE,FALSE,TRUE,1,#N/A,#N/A,FALSE,FALSE,TRUE,TRUE,TRUE}</definedName>
    <definedName name="wvu.SelCalQtr_AnlChg." hidden="1">{TRUE,TRUE,-2.75,-17,604.5,345.75,FALSE,FALSE,TRUE,TRUE,0,1,12,1,40,1,14,4,TRUE,TRUE,3,TRUE,1,TRUE,75,"Swvu.SelCalQtr_AnlChg.","ACwvu.SelCalQtr_AnlChg.",#N/A,FALSE,FALSE,0.32,0.5,0.66,0.5,2,"&amp;C&amp;""Arial Rounded MT Bold,Bold"" 1999-2000 BUDGET FORECASTNovember, 1998&amp;R&amp;""Arial Rounded MT Bold,Bold""CALIFORNIA DEPARTMENT OF  FINANCE ","",FALSE,FALSE,FALSE,FALSE,2,100,#N/A,#N/A,"=R58C14:R228C23","=C1,R10:R14",#N/A,#N/A,FALSE,FALSE,TRUE,1,#N/A,#N/A,FALSE,FALSE,TRUE,TRUE,TRUE}</definedName>
    <definedName name="wvu.SelectUSQtr_AnnlChg." localSheetId="2" hidden="1">{TRUE,TRUE,-2.75,-17,604.5,345.75,FALSE,FALSE,TRUE,TRUE,0,1,2,1,212,1,14,4,TRUE,TRUE,3,TRUE,1,TRUE,75,"Swvu.SelectUSQtr_AnnlChg.","ACwvu.SelectUSQtr_AnnlChg.",#N/A,FALSE,FALSE,0.32,0.5,0.66,0.5,2,"&amp;C&amp;""Arial Rounded MT Bold,Bold"" 1999-2000 BUDGET FORECASTNovember, 1998&amp;R&amp;""Arial Rounded MT Bold,Bold""CALIFORNIA DEPARTMENT OF  FINANCE ","",FALSE,FALSE,FALSE,FALSE,2,100,#N/A,#N/A,"=R58C2:R228C13","=C1,R10:R14",#N/A,#N/A,FALSE,FALSE,TRUE,1,#N/A,#N/A,FALSE,FALSE,TRUE,TRUE,TRUE}</definedName>
    <definedName name="wvu.SelectUSQtr_AnnlChg." hidden="1">{TRUE,TRUE,-2.75,-17,604.5,345.75,FALSE,FALSE,TRUE,TRUE,0,1,2,1,212,1,14,4,TRUE,TRUE,3,TRUE,1,TRUE,75,"Swvu.SelectUSQtr_AnnlChg.","ACwvu.SelectUSQtr_AnnlChg.",#N/A,FALSE,FALSE,0.32,0.5,0.66,0.5,2,"&amp;C&amp;""Arial Rounded MT Bold,Bold"" 1999-2000 BUDGET FORECASTNovember, 1998&amp;R&amp;""Arial Rounded MT Bold,Bold""CALIFORNIA DEPARTMENT OF  FINANCE ","",FALSE,FALSE,FALSE,FALSE,2,100,#N/A,#N/A,"=R58C2:R228C13","=C1,R10:R14",#N/A,#N/A,FALSE,FALSE,TRUE,1,#N/A,#N/A,FALSE,FALSE,TRUE,TRUE,TRUE}</definedName>
    <definedName name="Z_1BE16F68_9D44_11D3_8909_0000834298E4_.wvu.PrintArea" localSheetId="2" hidden="1">#REF!</definedName>
    <definedName name="Z_1BE16F68_9D44_11D3_8909_0000834298E4_.wvu.PrintArea" hidden="1">#REF!</definedName>
    <definedName name="Z_1BE16F68_9D44_11D3_8909_0000834298E4_.wvu.PrintTitles" localSheetId="2" hidden="1">#REF!,#REF!</definedName>
    <definedName name="Z_1BE16F68_9D44_11D3_8909_0000834298E4_.wvu.PrintTitles" hidden="1">#REF!,#REF!</definedName>
    <definedName name="Z_1BE16F69_9D44_11D3_8909_0000834298E4_.wvu.PrintArea" localSheetId="2" hidden="1">#REF!</definedName>
    <definedName name="Z_1BE16F69_9D44_11D3_8909_0000834298E4_.wvu.PrintArea" hidden="1">#REF!</definedName>
    <definedName name="Z_1BE16F69_9D44_11D3_8909_0000834298E4_.wvu.PrintTitles" localSheetId="2" hidden="1">#REF!,#REF!</definedName>
    <definedName name="Z_1BE16F69_9D44_11D3_8909_0000834298E4_.wvu.PrintTitles" hidden="1">#REF!,#REF!</definedName>
    <definedName name="Z_1BE16F6A_9D44_11D3_8909_0000834298E4_.wvu.PrintArea" localSheetId="2" hidden="1">#REF!</definedName>
    <definedName name="Z_1BE16F6A_9D44_11D3_8909_0000834298E4_.wvu.PrintArea" hidden="1">#REF!</definedName>
    <definedName name="Z_1BE16F6A_9D44_11D3_8909_0000834298E4_.wvu.PrintTitles" localSheetId="2" hidden="1">#REF!,#REF!</definedName>
    <definedName name="Z_1BE16F6A_9D44_11D3_8909_0000834298E4_.wvu.PrintTitles" hidden="1">#REF!,#REF!</definedName>
    <definedName name="Z_1BE16F6B_9D44_11D3_8909_0000834298E4_.wvu.PrintArea" localSheetId="2" hidden="1">#REF!</definedName>
    <definedName name="Z_1BE16F6B_9D44_11D3_8909_0000834298E4_.wvu.PrintArea" hidden="1">#REF!</definedName>
    <definedName name="Z_1BE16F6B_9D44_11D3_8909_0000834298E4_.wvu.PrintTitles" localSheetId="2" hidden="1">#REF!,#REF!</definedName>
    <definedName name="Z_1BE16F6B_9D44_11D3_8909_0000834298E4_.wvu.PrintTitles" hidden="1">#REF!,#REF!</definedName>
    <definedName name="Z_1BE16F6C_9D44_11D3_8909_0000834298E4_.wvu.PrintArea" localSheetId="2" hidden="1">#REF!</definedName>
    <definedName name="Z_1BE16F6C_9D44_11D3_8909_0000834298E4_.wvu.PrintArea" hidden="1">#REF!</definedName>
    <definedName name="Z_1BE16F6C_9D44_11D3_8909_0000834298E4_.wvu.PrintTitles" localSheetId="2" hidden="1">#REF!,#REF!</definedName>
    <definedName name="Z_1BE16F6C_9D44_11D3_8909_0000834298E4_.wvu.PrintTitles" hidden="1">#REF!,#REF!</definedName>
    <definedName name="Z_1D36A23A_A1C1_11D3_890B_0000834298E4_.wvu.PrintArea" localSheetId="2" hidden="1">#REF!</definedName>
    <definedName name="Z_1D36A23A_A1C1_11D3_890B_0000834298E4_.wvu.PrintArea" hidden="1">#REF!</definedName>
    <definedName name="Z_1D36A23A_A1C1_11D3_890B_0000834298E4_.wvu.PrintTitles" localSheetId="2" hidden="1">#REF!,#REF!</definedName>
    <definedName name="Z_1D36A23A_A1C1_11D3_890B_0000834298E4_.wvu.PrintTitles" hidden="1">#REF!,#REF!</definedName>
    <definedName name="Z_1D36A23B_A1C1_11D3_890B_0000834298E4_.wvu.PrintArea" localSheetId="2" hidden="1">#REF!</definedName>
    <definedName name="Z_1D36A23B_A1C1_11D3_890B_0000834298E4_.wvu.PrintArea" hidden="1">#REF!</definedName>
    <definedName name="Z_1D36A23B_A1C1_11D3_890B_0000834298E4_.wvu.PrintTitles" localSheetId="2" hidden="1">#REF!,#REF!</definedName>
    <definedName name="Z_1D36A23B_A1C1_11D3_890B_0000834298E4_.wvu.PrintTitles" hidden="1">#REF!,#REF!</definedName>
    <definedName name="Z_1D36A23C_A1C1_11D3_890B_0000834298E4_.wvu.PrintArea" localSheetId="2" hidden="1">#REF!</definedName>
    <definedName name="Z_1D36A23C_A1C1_11D3_890B_0000834298E4_.wvu.PrintArea" hidden="1">#REF!</definedName>
    <definedName name="Z_1D36A23C_A1C1_11D3_890B_0000834298E4_.wvu.PrintTitles" localSheetId="2" hidden="1">#REF!,#REF!</definedName>
    <definedName name="Z_1D36A23C_A1C1_11D3_890B_0000834298E4_.wvu.PrintTitles" hidden="1">#REF!,#REF!</definedName>
    <definedName name="Z_1D36A23D_A1C1_11D3_890B_0000834298E4_.wvu.PrintArea" localSheetId="2" hidden="1">#REF!</definedName>
    <definedName name="Z_1D36A23D_A1C1_11D3_890B_0000834298E4_.wvu.PrintArea" hidden="1">#REF!</definedName>
    <definedName name="Z_1D36A23D_A1C1_11D3_890B_0000834298E4_.wvu.PrintTitles" localSheetId="2" hidden="1">#REF!,#REF!</definedName>
    <definedName name="Z_1D36A23D_A1C1_11D3_890B_0000834298E4_.wvu.PrintTitles" hidden="1">#REF!,#REF!</definedName>
    <definedName name="Z_1D36A23E_A1C1_11D3_890B_0000834298E4_.wvu.PrintArea" localSheetId="2" hidden="1">#REF!</definedName>
    <definedName name="Z_1D36A23E_A1C1_11D3_890B_0000834298E4_.wvu.PrintArea" hidden="1">#REF!</definedName>
    <definedName name="Z_1D36A23E_A1C1_11D3_890B_0000834298E4_.wvu.PrintTitles" localSheetId="2" hidden="1">#REF!,#REF!</definedName>
    <definedName name="Z_1D36A23E_A1C1_11D3_890B_0000834298E4_.wvu.PrintTitles" hidden="1">#REF!,#REF!</definedName>
    <definedName name="Z_1F455A30_7293_11D3_8901_0000834298E4_.wvu.PrintArea" localSheetId="2" hidden="1">#REF!</definedName>
    <definedName name="Z_1F455A30_7293_11D3_8901_0000834298E4_.wvu.PrintArea" hidden="1">#REF!</definedName>
    <definedName name="Z_1F455A30_7293_11D3_8901_0000834298E4_.wvu.PrintTitles" localSheetId="2" hidden="1">#REF!,#REF!</definedName>
    <definedName name="Z_1F455A30_7293_11D3_8901_0000834298E4_.wvu.PrintTitles" hidden="1">#REF!,#REF!</definedName>
    <definedName name="Z_1F455A31_7293_11D3_8901_0000834298E4_.wvu.PrintArea" localSheetId="2" hidden="1">#REF!</definedName>
    <definedName name="Z_1F455A31_7293_11D3_8901_0000834298E4_.wvu.PrintArea" hidden="1">#REF!</definedName>
    <definedName name="Z_1F455A31_7293_11D3_8901_0000834298E4_.wvu.PrintTitles" localSheetId="2" hidden="1">#REF!,#REF!</definedName>
    <definedName name="Z_1F455A31_7293_11D3_8901_0000834298E4_.wvu.PrintTitles" hidden="1">#REF!,#REF!</definedName>
    <definedName name="Z_1F455A32_7293_11D3_8901_0000834298E4_.wvu.PrintArea" localSheetId="2" hidden="1">#REF!</definedName>
    <definedName name="Z_1F455A32_7293_11D3_8901_0000834298E4_.wvu.PrintArea" hidden="1">#REF!</definedName>
    <definedName name="Z_1F455A32_7293_11D3_8901_0000834298E4_.wvu.PrintTitles" localSheetId="2" hidden="1">#REF!,#REF!</definedName>
    <definedName name="Z_1F455A32_7293_11D3_8901_0000834298E4_.wvu.PrintTitles" hidden="1">#REF!,#REF!</definedName>
    <definedName name="Z_1F455A33_7293_11D3_8901_0000834298E4_.wvu.PrintArea" localSheetId="2" hidden="1">#REF!</definedName>
    <definedName name="Z_1F455A33_7293_11D3_8901_0000834298E4_.wvu.PrintArea" hidden="1">#REF!</definedName>
    <definedName name="Z_1F455A33_7293_11D3_8901_0000834298E4_.wvu.PrintTitles" localSheetId="2" hidden="1">#REF!,#REF!</definedName>
    <definedName name="Z_1F455A33_7293_11D3_8901_0000834298E4_.wvu.PrintTitles" hidden="1">#REF!,#REF!</definedName>
    <definedName name="Z_1F455A34_7293_11D3_8901_0000834298E4_.wvu.PrintArea" localSheetId="2" hidden="1">#REF!</definedName>
    <definedName name="Z_1F455A34_7293_11D3_8901_0000834298E4_.wvu.PrintArea" hidden="1">#REF!</definedName>
    <definedName name="Z_1F455A34_7293_11D3_8901_0000834298E4_.wvu.PrintTitles" localSheetId="2" hidden="1">#REF!,#REF!</definedName>
    <definedName name="Z_1F455A34_7293_11D3_8901_0000834298E4_.wvu.PrintTitles" hidden="1">#REF!,#REF!</definedName>
    <definedName name="Z_1F455B2A_7293_11D3_8901_0000834298E4_.wvu.PrintArea" localSheetId="2" hidden="1">#REF!</definedName>
    <definedName name="Z_1F455B2A_7293_11D3_8901_0000834298E4_.wvu.PrintArea" hidden="1">#REF!</definedName>
    <definedName name="Z_1F455B2A_7293_11D3_8901_0000834298E4_.wvu.PrintTitles" localSheetId="2" hidden="1">#REF!,#REF!</definedName>
    <definedName name="Z_1F455B2A_7293_11D3_8901_0000834298E4_.wvu.PrintTitles" hidden="1">#REF!,#REF!</definedName>
    <definedName name="Z_1F455B2B_7293_11D3_8901_0000834298E4_.wvu.PrintArea" localSheetId="2" hidden="1">#REF!</definedName>
    <definedName name="Z_1F455B2B_7293_11D3_8901_0000834298E4_.wvu.PrintArea" hidden="1">#REF!</definedName>
    <definedName name="Z_1F455B2B_7293_11D3_8901_0000834298E4_.wvu.PrintTitles" localSheetId="2" hidden="1">#REF!,#REF!</definedName>
    <definedName name="Z_1F455B2B_7293_11D3_8901_0000834298E4_.wvu.PrintTitles" hidden="1">#REF!,#REF!</definedName>
    <definedName name="Z_1F455B2C_7293_11D3_8901_0000834298E4_.wvu.PrintArea" localSheetId="2" hidden="1">#REF!</definedName>
    <definedName name="Z_1F455B2C_7293_11D3_8901_0000834298E4_.wvu.PrintArea" hidden="1">#REF!</definedName>
    <definedName name="Z_1F455B2C_7293_11D3_8901_0000834298E4_.wvu.PrintTitles" localSheetId="2" hidden="1">#REF!,#REF!</definedName>
    <definedName name="Z_1F455B2C_7293_11D3_8901_0000834298E4_.wvu.PrintTitles" hidden="1">#REF!,#REF!</definedName>
    <definedName name="Z_1F455B2D_7293_11D3_8901_0000834298E4_.wvu.PrintArea" localSheetId="2" hidden="1">#REF!</definedName>
    <definedName name="Z_1F455B2D_7293_11D3_8901_0000834298E4_.wvu.PrintArea" hidden="1">#REF!</definedName>
    <definedName name="Z_1F455B2D_7293_11D3_8901_0000834298E4_.wvu.PrintTitles" localSheetId="2" hidden="1">#REF!,#REF!</definedName>
    <definedName name="Z_1F455B2D_7293_11D3_8901_0000834298E4_.wvu.PrintTitles" hidden="1">#REF!,#REF!</definedName>
    <definedName name="Z_1F455B2E_7293_11D3_8901_0000834298E4_.wvu.PrintArea" localSheetId="2" hidden="1">#REF!</definedName>
    <definedName name="Z_1F455B2E_7293_11D3_8901_0000834298E4_.wvu.PrintArea" hidden="1">#REF!</definedName>
    <definedName name="Z_1F455B2E_7293_11D3_8901_0000834298E4_.wvu.PrintTitles" localSheetId="2" hidden="1">#REF!,#REF!</definedName>
    <definedName name="Z_1F455B2E_7293_11D3_8901_0000834298E4_.wvu.PrintTitles" hidden="1">#REF!,#REF!</definedName>
    <definedName name="Z_1F455C7F_7293_11D3_8901_0000834298E4_.wvu.PrintArea" localSheetId="2" hidden="1">#REF!</definedName>
    <definedName name="Z_1F455C7F_7293_11D3_8901_0000834298E4_.wvu.PrintArea" hidden="1">#REF!</definedName>
    <definedName name="Z_1F455C7F_7293_11D3_8901_0000834298E4_.wvu.PrintTitles" localSheetId="2" hidden="1">#REF!,#REF!</definedName>
    <definedName name="Z_1F455C7F_7293_11D3_8901_0000834298E4_.wvu.PrintTitles" hidden="1">#REF!,#REF!</definedName>
    <definedName name="Z_1F455C80_7293_11D3_8901_0000834298E4_.wvu.PrintArea" localSheetId="2" hidden="1">#REF!</definedName>
    <definedName name="Z_1F455C80_7293_11D3_8901_0000834298E4_.wvu.PrintArea" hidden="1">#REF!</definedName>
    <definedName name="Z_1F455C80_7293_11D3_8901_0000834298E4_.wvu.PrintTitles" localSheetId="2" hidden="1">#REF!,#REF!</definedName>
    <definedName name="Z_1F455C80_7293_11D3_8901_0000834298E4_.wvu.PrintTitles" hidden="1">#REF!,#REF!</definedName>
    <definedName name="Z_1F455C81_7293_11D3_8901_0000834298E4_.wvu.PrintArea" localSheetId="2" hidden="1">#REF!</definedName>
    <definedName name="Z_1F455C81_7293_11D3_8901_0000834298E4_.wvu.PrintArea" hidden="1">#REF!</definedName>
    <definedName name="Z_1F455C81_7293_11D3_8901_0000834298E4_.wvu.PrintTitles" localSheetId="2" hidden="1">#REF!,#REF!</definedName>
    <definedName name="Z_1F455C81_7293_11D3_8901_0000834298E4_.wvu.PrintTitles" hidden="1">#REF!,#REF!</definedName>
    <definedName name="Z_1F455C82_7293_11D3_8901_0000834298E4_.wvu.PrintArea" localSheetId="2" hidden="1">#REF!</definedName>
    <definedName name="Z_1F455C82_7293_11D3_8901_0000834298E4_.wvu.PrintArea" hidden="1">#REF!</definedName>
    <definedName name="Z_1F455C82_7293_11D3_8901_0000834298E4_.wvu.PrintTitles" localSheetId="2" hidden="1">#REF!,#REF!</definedName>
    <definedName name="Z_1F455C82_7293_11D3_8901_0000834298E4_.wvu.PrintTitles" hidden="1">#REF!,#REF!</definedName>
    <definedName name="Z_1F455C83_7293_11D3_8901_0000834298E4_.wvu.PrintArea" localSheetId="2" hidden="1">#REF!</definedName>
    <definedName name="Z_1F455C83_7293_11D3_8901_0000834298E4_.wvu.PrintArea" hidden="1">#REF!</definedName>
    <definedName name="Z_1F455C83_7293_11D3_8901_0000834298E4_.wvu.PrintTitles" localSheetId="2" hidden="1">#REF!,#REF!</definedName>
    <definedName name="Z_1F455C83_7293_11D3_8901_0000834298E4_.wvu.PrintTitles" hidden="1">#REF!,#REF!</definedName>
    <definedName name="Z_1F455D42_7293_11D3_8901_0000834298E4_.wvu.PrintArea" localSheetId="2" hidden="1">#REF!</definedName>
    <definedName name="Z_1F455D42_7293_11D3_8901_0000834298E4_.wvu.PrintArea" hidden="1">#REF!</definedName>
    <definedName name="Z_1F455D42_7293_11D3_8901_0000834298E4_.wvu.PrintTitles" localSheetId="2" hidden="1">#REF!,#REF!</definedName>
    <definedName name="Z_1F455D42_7293_11D3_8901_0000834298E4_.wvu.PrintTitles" hidden="1">#REF!,#REF!</definedName>
    <definedName name="Z_1F455D43_7293_11D3_8901_0000834298E4_.wvu.PrintArea" localSheetId="2" hidden="1">#REF!</definedName>
    <definedName name="Z_1F455D43_7293_11D3_8901_0000834298E4_.wvu.PrintArea" hidden="1">#REF!</definedName>
    <definedName name="Z_1F455D43_7293_11D3_8901_0000834298E4_.wvu.PrintTitles" localSheetId="2" hidden="1">#REF!,#REF!</definedName>
    <definedName name="Z_1F455D43_7293_11D3_8901_0000834298E4_.wvu.PrintTitles" hidden="1">#REF!,#REF!</definedName>
    <definedName name="Z_1F455D44_7293_11D3_8901_0000834298E4_.wvu.PrintArea" localSheetId="2" hidden="1">#REF!</definedName>
    <definedName name="Z_1F455D44_7293_11D3_8901_0000834298E4_.wvu.PrintArea" hidden="1">#REF!</definedName>
    <definedName name="Z_1F455D44_7293_11D3_8901_0000834298E4_.wvu.PrintTitles" localSheetId="2" hidden="1">#REF!,#REF!</definedName>
    <definedName name="Z_1F455D44_7293_11D3_8901_0000834298E4_.wvu.PrintTitles" hidden="1">#REF!,#REF!</definedName>
    <definedName name="Z_1F455D45_7293_11D3_8901_0000834298E4_.wvu.PrintArea" localSheetId="2" hidden="1">#REF!</definedName>
    <definedName name="Z_1F455D45_7293_11D3_8901_0000834298E4_.wvu.PrintArea" hidden="1">#REF!</definedName>
    <definedName name="Z_1F455D45_7293_11D3_8901_0000834298E4_.wvu.PrintTitles" localSheetId="2" hidden="1">#REF!,#REF!</definedName>
    <definedName name="Z_1F455D45_7293_11D3_8901_0000834298E4_.wvu.PrintTitles" hidden="1">#REF!,#REF!</definedName>
    <definedName name="Z_1F455D46_7293_11D3_8901_0000834298E4_.wvu.PrintArea" localSheetId="2" hidden="1">#REF!</definedName>
    <definedName name="Z_1F455D46_7293_11D3_8901_0000834298E4_.wvu.PrintArea" hidden="1">#REF!</definedName>
    <definedName name="Z_1F455D46_7293_11D3_8901_0000834298E4_.wvu.PrintTitles" localSheetId="2" hidden="1">#REF!,#REF!</definedName>
    <definedName name="Z_1F455D46_7293_11D3_8901_0000834298E4_.wvu.PrintTitles" hidden="1">#REF!,#REF!</definedName>
    <definedName name="Z_20CC9B39_69FE_11D3_88F7_0000834298E4_.wvu.Cols" localSheetId="2" hidden="1">#REF!</definedName>
    <definedName name="Z_20CC9B39_69FE_11D3_88F7_0000834298E4_.wvu.Cols" hidden="1">#REF!</definedName>
    <definedName name="Z_20CC9B39_69FE_11D3_88F7_0000834298E4_.wvu.PrintArea" localSheetId="2" hidden="1">#REF!</definedName>
    <definedName name="Z_20CC9B39_69FE_11D3_88F7_0000834298E4_.wvu.PrintArea" hidden="1">#REF!</definedName>
    <definedName name="Z_20CC9B39_69FE_11D3_88F7_0000834298E4_.wvu.PrintTitles" localSheetId="2" hidden="1">'[1]dept finance data'!#REF!</definedName>
    <definedName name="Z_20CC9B39_69FE_11D3_88F7_0000834298E4_.wvu.PrintTitles" hidden="1">'[1]dept finance data'!#REF!</definedName>
    <definedName name="Z_20CC9B39_69FE_11D3_88F7_0000834298E4_.wvu.Rows" localSheetId="2" hidden="1">'[1]dept finance data'!#REF!</definedName>
    <definedName name="Z_20CC9B39_69FE_11D3_88F7_0000834298E4_.wvu.Rows" hidden="1">'[1]dept finance data'!#REF!</definedName>
    <definedName name="Z_20CC9B3B_69FE_11D3_88F7_0000834298E4_.wvu.Cols" localSheetId="2" hidden="1">#REF!</definedName>
    <definedName name="Z_20CC9B3B_69FE_11D3_88F7_0000834298E4_.wvu.Cols" hidden="1">#REF!</definedName>
    <definedName name="Z_20CC9B3B_69FE_11D3_88F7_0000834298E4_.wvu.PrintArea" localSheetId="2" hidden="1">#REF!</definedName>
    <definedName name="Z_20CC9B3B_69FE_11D3_88F7_0000834298E4_.wvu.PrintArea" hidden="1">#REF!</definedName>
    <definedName name="Z_20CC9B3B_69FE_11D3_88F7_0000834298E4_.wvu.PrintTitles" localSheetId="2" hidden="1">'[1]dept finance data'!#REF!</definedName>
    <definedName name="Z_20CC9B3B_69FE_11D3_88F7_0000834298E4_.wvu.PrintTitles" hidden="1">'[1]dept finance data'!#REF!</definedName>
    <definedName name="Z_20CC9B3B_69FE_11D3_88F7_0000834298E4_.wvu.Rows" localSheetId="2" hidden="1">'[1]dept finance data'!#REF!</definedName>
    <definedName name="Z_20CC9B3B_69FE_11D3_88F7_0000834298E4_.wvu.Rows" hidden="1">'[1]dept finance data'!#REF!</definedName>
    <definedName name="Z_20CC9B3D_69FE_11D3_88F7_0000834298E4_.wvu.Cols" localSheetId="2" hidden="1">#REF!</definedName>
    <definedName name="Z_20CC9B3D_69FE_11D3_88F7_0000834298E4_.wvu.Cols" hidden="1">#REF!</definedName>
    <definedName name="Z_20CC9B3D_69FE_11D3_88F7_0000834298E4_.wvu.PrintArea" localSheetId="2" hidden="1">#REF!</definedName>
    <definedName name="Z_20CC9B3D_69FE_11D3_88F7_0000834298E4_.wvu.PrintArea" hidden="1">#REF!</definedName>
    <definedName name="Z_20CC9B3D_69FE_11D3_88F7_0000834298E4_.wvu.PrintTitles" localSheetId="2" hidden="1">'[1]dept finance data'!#REF!</definedName>
    <definedName name="Z_20CC9B3D_69FE_11D3_88F7_0000834298E4_.wvu.PrintTitles" hidden="1">'[1]dept finance data'!#REF!</definedName>
    <definedName name="Z_20CC9B3D_69FE_11D3_88F7_0000834298E4_.wvu.Rows" localSheetId="2" hidden="1">'[1]dept finance data'!#REF!</definedName>
    <definedName name="Z_20CC9B3D_69FE_11D3_88F7_0000834298E4_.wvu.Rows" hidden="1">'[1]dept finance data'!#REF!</definedName>
    <definedName name="Z_20CC9BCC_69FE_11D3_88F7_0000834298E4_.wvu.Cols" localSheetId="2" hidden="1">#REF!</definedName>
    <definedName name="Z_20CC9BCC_69FE_11D3_88F7_0000834298E4_.wvu.Cols" hidden="1">#REF!</definedName>
    <definedName name="Z_20CC9BCC_69FE_11D3_88F7_0000834298E4_.wvu.PrintArea" localSheetId="2" hidden="1">#REF!</definedName>
    <definedName name="Z_20CC9BCC_69FE_11D3_88F7_0000834298E4_.wvu.PrintArea" hidden="1">#REF!</definedName>
    <definedName name="Z_20CC9BCC_69FE_11D3_88F7_0000834298E4_.wvu.PrintTitles" localSheetId="2" hidden="1">'[1]dept finance data'!#REF!</definedName>
    <definedName name="Z_20CC9BCC_69FE_11D3_88F7_0000834298E4_.wvu.PrintTitles" hidden="1">'[1]dept finance data'!#REF!</definedName>
    <definedName name="Z_20CC9BCC_69FE_11D3_88F7_0000834298E4_.wvu.Rows" localSheetId="2" hidden="1">'[1]dept finance data'!#REF!</definedName>
    <definedName name="Z_20CC9BCC_69FE_11D3_88F7_0000834298E4_.wvu.Rows" hidden="1">'[1]dept finance data'!#REF!</definedName>
    <definedName name="Z_20CC9BCE_69FE_11D3_88F7_0000834298E4_.wvu.Cols" localSheetId="2" hidden="1">#REF!</definedName>
    <definedName name="Z_20CC9BCE_69FE_11D3_88F7_0000834298E4_.wvu.Cols" hidden="1">#REF!</definedName>
    <definedName name="Z_20CC9BCE_69FE_11D3_88F7_0000834298E4_.wvu.PrintArea" localSheetId="2" hidden="1">#REF!</definedName>
    <definedName name="Z_20CC9BCE_69FE_11D3_88F7_0000834298E4_.wvu.PrintArea" hidden="1">#REF!</definedName>
    <definedName name="Z_20CC9BCE_69FE_11D3_88F7_0000834298E4_.wvu.PrintTitles" localSheetId="2" hidden="1">'[1]dept finance data'!#REF!</definedName>
    <definedName name="Z_20CC9BCE_69FE_11D3_88F7_0000834298E4_.wvu.PrintTitles" hidden="1">'[1]dept finance data'!#REF!</definedName>
    <definedName name="Z_20CC9BCE_69FE_11D3_88F7_0000834298E4_.wvu.Rows" localSheetId="2" hidden="1">'[1]dept finance data'!#REF!</definedName>
    <definedName name="Z_20CC9BCE_69FE_11D3_88F7_0000834298E4_.wvu.Rows" hidden="1">'[1]dept finance data'!#REF!</definedName>
    <definedName name="Z_20CC9C23_69FE_11D3_88F7_0000834298E4_.wvu.Cols" localSheetId="2" hidden="1">#REF!</definedName>
    <definedName name="Z_20CC9C23_69FE_11D3_88F7_0000834298E4_.wvu.Cols" hidden="1">#REF!</definedName>
    <definedName name="Z_31BD4071_6607_11D3_88F3_0000834298E4_.wvu.Cols" localSheetId="2" hidden="1">#REF!</definedName>
    <definedName name="Z_31BD4071_6607_11D3_88F3_0000834298E4_.wvu.Cols" hidden="1">#REF!</definedName>
    <definedName name="Z_31BD4071_6607_11D3_88F3_0000834298E4_.wvu.PrintArea" localSheetId="2" hidden="1">#REF!</definedName>
    <definedName name="Z_31BD4071_6607_11D3_88F3_0000834298E4_.wvu.PrintArea" hidden="1">#REF!</definedName>
    <definedName name="Z_31BD4071_6607_11D3_88F3_0000834298E4_.wvu.PrintTitles" localSheetId="2" hidden="1">'[1]dept finance data'!#REF!</definedName>
    <definedName name="Z_31BD4071_6607_11D3_88F3_0000834298E4_.wvu.PrintTitles" hidden="1">'[1]dept finance data'!#REF!</definedName>
    <definedName name="Z_31BD4071_6607_11D3_88F3_0000834298E4_.wvu.Rows" localSheetId="2" hidden="1">'[1]dept finance data'!#REF!</definedName>
    <definedName name="Z_31BD4071_6607_11D3_88F3_0000834298E4_.wvu.Rows" hidden="1">'[1]dept finance data'!#REF!</definedName>
    <definedName name="Z_31BD4073_6607_11D3_88F3_0000834298E4_.wvu.Cols" localSheetId="2" hidden="1">#REF!</definedName>
    <definedName name="Z_31BD4073_6607_11D3_88F3_0000834298E4_.wvu.Cols" hidden="1">#REF!</definedName>
    <definedName name="Z_31BD4073_6607_11D3_88F3_0000834298E4_.wvu.PrintArea" localSheetId="2" hidden="1">#REF!</definedName>
    <definedName name="Z_31BD4073_6607_11D3_88F3_0000834298E4_.wvu.PrintArea" hidden="1">#REF!</definedName>
    <definedName name="Z_31BD4073_6607_11D3_88F3_0000834298E4_.wvu.PrintTitles" localSheetId="2" hidden="1">'[1]dept finance data'!#REF!</definedName>
    <definedName name="Z_31BD4073_6607_11D3_88F3_0000834298E4_.wvu.PrintTitles" hidden="1">'[1]dept finance data'!#REF!</definedName>
    <definedName name="Z_31BD4073_6607_11D3_88F3_0000834298E4_.wvu.Rows" localSheetId="2" hidden="1">'[1]dept finance data'!#REF!</definedName>
    <definedName name="Z_31BD4073_6607_11D3_88F3_0000834298E4_.wvu.Rows" hidden="1">'[1]dept finance data'!#REF!</definedName>
    <definedName name="Z_31BD4075_6607_11D3_88F3_0000834298E4_.wvu.Cols" localSheetId="2" hidden="1">#REF!</definedName>
    <definedName name="Z_31BD4075_6607_11D3_88F3_0000834298E4_.wvu.Cols" hidden="1">#REF!</definedName>
    <definedName name="Z_31BD4075_6607_11D3_88F3_0000834298E4_.wvu.PrintArea" localSheetId="2" hidden="1">#REF!</definedName>
    <definedName name="Z_31BD4075_6607_11D3_88F3_0000834298E4_.wvu.PrintArea" hidden="1">#REF!</definedName>
    <definedName name="Z_31BD4075_6607_11D3_88F3_0000834298E4_.wvu.PrintTitles" localSheetId="2" hidden="1">'[1]dept finance data'!#REF!</definedName>
    <definedName name="Z_31BD4075_6607_11D3_88F3_0000834298E4_.wvu.PrintTitles" hidden="1">'[1]dept finance data'!#REF!</definedName>
    <definedName name="Z_31BD4075_6607_11D3_88F3_0000834298E4_.wvu.Rows" localSheetId="2" hidden="1">'[1]dept finance data'!#REF!</definedName>
    <definedName name="Z_31BD4075_6607_11D3_88F3_0000834298E4_.wvu.Rows" hidden="1">'[1]dept finance data'!#REF!</definedName>
    <definedName name="Z_31BD40E5_6607_11D3_88F3_0000834298E4_.wvu.PrintArea" localSheetId="2" hidden="1">#REF!</definedName>
    <definedName name="Z_31BD40E5_6607_11D3_88F3_0000834298E4_.wvu.PrintArea" hidden="1">#REF!</definedName>
    <definedName name="Z_31BD40E5_6607_11D3_88F3_0000834298E4_.wvu.PrintTitles" localSheetId="2" hidden="1">#REF!,#REF!</definedName>
    <definedName name="Z_31BD40E5_6607_11D3_88F3_0000834298E4_.wvu.PrintTitles" hidden="1">#REF!,#REF!</definedName>
    <definedName name="Z_31BD40E6_6607_11D3_88F3_0000834298E4_.wvu.PrintArea" localSheetId="2" hidden="1">#REF!</definedName>
    <definedName name="Z_31BD40E6_6607_11D3_88F3_0000834298E4_.wvu.PrintArea" hidden="1">#REF!</definedName>
    <definedName name="Z_31BD40E6_6607_11D3_88F3_0000834298E4_.wvu.PrintTitles" localSheetId="2" hidden="1">#REF!,#REF!</definedName>
    <definedName name="Z_31BD40E6_6607_11D3_88F3_0000834298E4_.wvu.PrintTitles" hidden="1">#REF!,#REF!</definedName>
    <definedName name="Z_31BD40E7_6607_11D3_88F3_0000834298E4_.wvu.PrintArea" localSheetId="2" hidden="1">#REF!</definedName>
    <definedName name="Z_31BD40E7_6607_11D3_88F3_0000834298E4_.wvu.PrintArea" hidden="1">#REF!</definedName>
    <definedName name="Z_31BD40E7_6607_11D3_88F3_0000834298E4_.wvu.PrintTitles" localSheetId="2" hidden="1">#REF!,#REF!</definedName>
    <definedName name="Z_31BD40E7_6607_11D3_88F3_0000834298E4_.wvu.PrintTitles" hidden="1">#REF!,#REF!</definedName>
    <definedName name="Z_31BD40E8_6607_11D3_88F3_0000834298E4_.wvu.PrintArea" localSheetId="2" hidden="1">#REF!</definedName>
    <definedName name="Z_31BD40E8_6607_11D3_88F3_0000834298E4_.wvu.PrintArea" hidden="1">#REF!</definedName>
    <definedName name="Z_31BD40E8_6607_11D3_88F3_0000834298E4_.wvu.PrintTitles" localSheetId="2" hidden="1">#REF!,#REF!</definedName>
    <definedName name="Z_31BD40E8_6607_11D3_88F3_0000834298E4_.wvu.PrintTitles" hidden="1">#REF!,#REF!</definedName>
    <definedName name="Z_31BD40E9_6607_11D3_88F3_0000834298E4_.wvu.PrintArea" localSheetId="2" hidden="1">#REF!</definedName>
    <definedName name="Z_31BD40E9_6607_11D3_88F3_0000834298E4_.wvu.PrintArea" hidden="1">#REF!</definedName>
    <definedName name="Z_31BD40E9_6607_11D3_88F3_0000834298E4_.wvu.PrintTitles" localSheetId="2" hidden="1">#REF!,#REF!</definedName>
    <definedName name="Z_31BD40E9_6607_11D3_88F3_0000834298E4_.wvu.PrintTitles" hidden="1">#REF!,#REF!</definedName>
    <definedName name="Z_31BD4177_6607_11D3_88F3_0000834298E4_.wvu.Cols" localSheetId="2" hidden="1">#REF!</definedName>
    <definedName name="Z_31BD4177_6607_11D3_88F3_0000834298E4_.wvu.Cols" hidden="1">#REF!</definedName>
    <definedName name="Z_31BD4177_6607_11D3_88F3_0000834298E4_.wvu.PrintArea" localSheetId="2" hidden="1">#REF!</definedName>
    <definedName name="Z_31BD4177_6607_11D3_88F3_0000834298E4_.wvu.PrintArea" hidden="1">#REF!</definedName>
    <definedName name="Z_31BD4177_6607_11D3_88F3_0000834298E4_.wvu.PrintTitles" localSheetId="2" hidden="1">'[1]dept finance data'!#REF!</definedName>
    <definedName name="Z_31BD4177_6607_11D3_88F3_0000834298E4_.wvu.PrintTitles" hidden="1">'[1]dept finance data'!#REF!</definedName>
    <definedName name="Z_31BD4177_6607_11D3_88F3_0000834298E4_.wvu.Rows" localSheetId="2" hidden="1">'[1]dept finance data'!#REF!</definedName>
    <definedName name="Z_31BD4177_6607_11D3_88F3_0000834298E4_.wvu.Rows" hidden="1">'[1]dept finance data'!#REF!</definedName>
    <definedName name="Z_31BD4179_6607_11D3_88F3_0000834298E4_.wvu.Cols" localSheetId="2" hidden="1">#REF!</definedName>
    <definedName name="Z_31BD4179_6607_11D3_88F3_0000834298E4_.wvu.Cols" hidden="1">#REF!</definedName>
    <definedName name="Z_31BD4179_6607_11D3_88F3_0000834298E4_.wvu.PrintArea" localSheetId="2" hidden="1">#REF!</definedName>
    <definedName name="Z_31BD4179_6607_11D3_88F3_0000834298E4_.wvu.PrintArea" hidden="1">#REF!</definedName>
    <definedName name="Z_31BD4179_6607_11D3_88F3_0000834298E4_.wvu.PrintTitles" localSheetId="2" hidden="1">'[1]dept finance data'!#REF!</definedName>
    <definedName name="Z_31BD4179_6607_11D3_88F3_0000834298E4_.wvu.PrintTitles" hidden="1">'[1]dept finance data'!#REF!</definedName>
    <definedName name="Z_31BD4179_6607_11D3_88F3_0000834298E4_.wvu.Rows" localSheetId="2" hidden="1">'[1]dept finance data'!#REF!</definedName>
    <definedName name="Z_31BD4179_6607_11D3_88F3_0000834298E4_.wvu.Rows" hidden="1">'[1]dept finance data'!#REF!</definedName>
    <definedName name="Z_31BD417B_6607_11D3_88F3_0000834298E4_.wvu.Cols" localSheetId="2" hidden="1">#REF!</definedName>
    <definedName name="Z_31BD417B_6607_11D3_88F3_0000834298E4_.wvu.Cols" hidden="1">#REF!</definedName>
    <definedName name="Z_31BD417B_6607_11D3_88F3_0000834298E4_.wvu.PrintArea" localSheetId="2" hidden="1">#REF!</definedName>
    <definedName name="Z_31BD417B_6607_11D3_88F3_0000834298E4_.wvu.PrintArea" hidden="1">#REF!</definedName>
    <definedName name="Z_31BD417B_6607_11D3_88F3_0000834298E4_.wvu.PrintTitles" localSheetId="2" hidden="1">'[1]dept finance data'!#REF!</definedName>
    <definedName name="Z_31BD417B_6607_11D3_88F3_0000834298E4_.wvu.PrintTitles" hidden="1">'[1]dept finance data'!#REF!</definedName>
    <definedName name="Z_31BD417B_6607_11D3_88F3_0000834298E4_.wvu.Rows" localSheetId="2" hidden="1">'[1]dept finance data'!#REF!</definedName>
    <definedName name="Z_31BD417B_6607_11D3_88F3_0000834298E4_.wvu.Rows" hidden="1">'[1]dept finance data'!#REF!</definedName>
    <definedName name="Z_31C0CC66_A0FA_11D3_890A_0000834298E4_.wvu.PrintArea" localSheetId="2" hidden="1">#REF!</definedName>
    <definedName name="Z_31C0CC66_A0FA_11D3_890A_0000834298E4_.wvu.PrintArea" hidden="1">#REF!</definedName>
    <definedName name="Z_31C0CC66_A0FA_11D3_890A_0000834298E4_.wvu.PrintTitles" localSheetId="2" hidden="1">#REF!,#REF!</definedName>
    <definedName name="Z_31C0CC66_A0FA_11D3_890A_0000834298E4_.wvu.PrintTitles" hidden="1">#REF!,#REF!</definedName>
    <definedName name="Z_31C0CC67_A0FA_11D3_890A_0000834298E4_.wvu.PrintArea" localSheetId="2" hidden="1">#REF!</definedName>
    <definedName name="Z_31C0CC67_A0FA_11D3_890A_0000834298E4_.wvu.PrintArea" hidden="1">#REF!</definedName>
    <definedName name="Z_31C0CC67_A0FA_11D3_890A_0000834298E4_.wvu.PrintTitles" localSheetId="2" hidden="1">#REF!,#REF!</definedName>
    <definedName name="Z_31C0CC67_A0FA_11D3_890A_0000834298E4_.wvu.PrintTitles" hidden="1">#REF!,#REF!</definedName>
    <definedName name="Z_31C0CC68_A0FA_11D3_890A_0000834298E4_.wvu.PrintArea" localSheetId="2" hidden="1">#REF!</definedName>
    <definedName name="Z_31C0CC68_A0FA_11D3_890A_0000834298E4_.wvu.PrintArea" hidden="1">#REF!</definedName>
    <definedName name="Z_31C0CC68_A0FA_11D3_890A_0000834298E4_.wvu.PrintTitles" localSheetId="2" hidden="1">#REF!,#REF!</definedName>
    <definedName name="Z_31C0CC68_A0FA_11D3_890A_0000834298E4_.wvu.PrintTitles" hidden="1">#REF!,#REF!</definedName>
    <definedName name="Z_31C0CC69_A0FA_11D3_890A_0000834298E4_.wvu.PrintArea" localSheetId="2" hidden="1">#REF!</definedName>
    <definedName name="Z_31C0CC69_A0FA_11D3_890A_0000834298E4_.wvu.PrintArea" hidden="1">#REF!</definedName>
    <definedName name="Z_31C0CC69_A0FA_11D3_890A_0000834298E4_.wvu.PrintTitles" localSheetId="2" hidden="1">#REF!,#REF!</definedName>
    <definedName name="Z_31C0CC69_A0FA_11D3_890A_0000834298E4_.wvu.PrintTitles" hidden="1">#REF!,#REF!</definedName>
    <definedName name="Z_31C0CC6A_A0FA_11D3_890A_0000834298E4_.wvu.PrintArea" localSheetId="2" hidden="1">#REF!</definedName>
    <definedName name="Z_31C0CC6A_A0FA_11D3_890A_0000834298E4_.wvu.PrintArea" hidden="1">#REF!</definedName>
    <definedName name="Z_31C0CC6A_A0FA_11D3_890A_0000834298E4_.wvu.PrintTitles" localSheetId="2" hidden="1">#REF!,#REF!</definedName>
    <definedName name="Z_31C0CC6A_A0FA_11D3_890A_0000834298E4_.wvu.PrintTitles" hidden="1">#REF!,#REF!</definedName>
    <definedName name="Z_33E04360_9D15_11D3_8909_0000834298E4_.wvu.PrintArea" localSheetId="2" hidden="1">#REF!</definedName>
    <definedName name="Z_33E04360_9D15_11D3_8909_0000834298E4_.wvu.PrintArea" hidden="1">#REF!</definedName>
    <definedName name="Z_33E04360_9D15_11D3_8909_0000834298E4_.wvu.PrintTitles" localSheetId="2" hidden="1">#REF!,#REF!</definedName>
    <definedName name="Z_33E04360_9D15_11D3_8909_0000834298E4_.wvu.PrintTitles" hidden="1">#REF!,#REF!</definedName>
    <definedName name="Z_33E04361_9D15_11D3_8909_0000834298E4_.wvu.PrintArea" localSheetId="2" hidden="1">#REF!</definedName>
    <definedName name="Z_33E04361_9D15_11D3_8909_0000834298E4_.wvu.PrintArea" hidden="1">#REF!</definedName>
    <definedName name="Z_33E04361_9D15_11D3_8909_0000834298E4_.wvu.PrintTitles" localSheetId="2" hidden="1">#REF!,#REF!</definedName>
    <definedName name="Z_33E04361_9D15_11D3_8909_0000834298E4_.wvu.PrintTitles" hidden="1">#REF!,#REF!</definedName>
    <definedName name="Z_33E04362_9D15_11D3_8909_0000834298E4_.wvu.PrintArea" localSheetId="2" hidden="1">#REF!</definedName>
    <definedName name="Z_33E04362_9D15_11D3_8909_0000834298E4_.wvu.PrintArea" hidden="1">#REF!</definedName>
    <definedName name="Z_33E04362_9D15_11D3_8909_0000834298E4_.wvu.PrintTitles" localSheetId="2" hidden="1">#REF!,#REF!</definedName>
    <definedName name="Z_33E04362_9D15_11D3_8909_0000834298E4_.wvu.PrintTitles" hidden="1">#REF!,#REF!</definedName>
    <definedName name="Z_33E04363_9D15_11D3_8909_0000834298E4_.wvu.PrintArea" localSheetId="2" hidden="1">#REF!</definedName>
    <definedName name="Z_33E04363_9D15_11D3_8909_0000834298E4_.wvu.PrintArea" hidden="1">#REF!</definedName>
    <definedName name="Z_33E04363_9D15_11D3_8909_0000834298E4_.wvu.PrintTitles" localSheetId="2" hidden="1">#REF!,#REF!</definedName>
    <definedName name="Z_33E04363_9D15_11D3_8909_0000834298E4_.wvu.PrintTitles" hidden="1">#REF!,#REF!</definedName>
    <definedName name="Z_33E04364_9D15_11D3_8909_0000834298E4_.wvu.PrintArea" localSheetId="2" hidden="1">#REF!</definedName>
    <definedName name="Z_33E04364_9D15_11D3_8909_0000834298E4_.wvu.PrintArea" hidden="1">#REF!</definedName>
    <definedName name="Z_33E04364_9D15_11D3_8909_0000834298E4_.wvu.PrintTitles" localSheetId="2" hidden="1">#REF!,#REF!</definedName>
    <definedName name="Z_33E04364_9D15_11D3_8909_0000834298E4_.wvu.PrintTitles" hidden="1">#REF!,#REF!</definedName>
    <definedName name="Z_372AD0D0_7071_11D3_88FD_0000834298E4_.wvu.PrintArea" localSheetId="2" hidden="1">#REF!</definedName>
    <definedName name="Z_372AD0D0_7071_11D3_88FD_0000834298E4_.wvu.PrintArea" hidden="1">#REF!</definedName>
    <definedName name="Z_372AD0D0_7071_11D3_88FD_0000834298E4_.wvu.PrintTitles" localSheetId="2" hidden="1">#REF!,#REF!</definedName>
    <definedName name="Z_372AD0D0_7071_11D3_88FD_0000834298E4_.wvu.PrintTitles" hidden="1">#REF!,#REF!</definedName>
    <definedName name="Z_372AD0D1_7071_11D3_88FD_0000834298E4_.wvu.PrintArea" localSheetId="2" hidden="1">#REF!</definedName>
    <definedName name="Z_372AD0D1_7071_11D3_88FD_0000834298E4_.wvu.PrintArea" hidden="1">#REF!</definedName>
    <definedName name="Z_372AD0D1_7071_11D3_88FD_0000834298E4_.wvu.PrintTitles" localSheetId="2" hidden="1">#REF!,#REF!</definedName>
    <definedName name="Z_372AD0D1_7071_11D3_88FD_0000834298E4_.wvu.PrintTitles" hidden="1">#REF!,#REF!</definedName>
    <definedName name="Z_372AD0D2_7071_11D3_88FD_0000834298E4_.wvu.PrintArea" localSheetId="2" hidden="1">#REF!</definedName>
    <definedName name="Z_372AD0D2_7071_11D3_88FD_0000834298E4_.wvu.PrintArea" hidden="1">#REF!</definedName>
    <definedName name="Z_372AD0D2_7071_11D3_88FD_0000834298E4_.wvu.PrintTitles" localSheetId="2" hidden="1">#REF!,#REF!</definedName>
    <definedName name="Z_372AD0D2_7071_11D3_88FD_0000834298E4_.wvu.PrintTitles" hidden="1">#REF!,#REF!</definedName>
    <definedName name="Z_372AD0D3_7071_11D3_88FD_0000834298E4_.wvu.PrintArea" localSheetId="2" hidden="1">#REF!</definedName>
    <definedName name="Z_372AD0D3_7071_11D3_88FD_0000834298E4_.wvu.PrintArea" hidden="1">#REF!</definedName>
    <definedName name="Z_372AD0D3_7071_11D3_88FD_0000834298E4_.wvu.PrintTitles" localSheetId="2" hidden="1">#REF!,#REF!</definedName>
    <definedName name="Z_372AD0D3_7071_11D3_88FD_0000834298E4_.wvu.PrintTitles" hidden="1">#REF!,#REF!</definedName>
    <definedName name="Z_372AD0D4_7071_11D3_88FD_0000834298E4_.wvu.PrintArea" localSheetId="2" hidden="1">#REF!</definedName>
    <definedName name="Z_372AD0D4_7071_11D3_88FD_0000834298E4_.wvu.PrintArea" hidden="1">#REF!</definedName>
    <definedName name="Z_372AD0D4_7071_11D3_88FD_0000834298E4_.wvu.PrintTitles" localSheetId="2" hidden="1">#REF!,#REF!</definedName>
    <definedName name="Z_372AD0D4_7071_11D3_88FD_0000834298E4_.wvu.PrintTitles" hidden="1">#REF!,#REF!</definedName>
    <definedName name="Z_3FDE5923_907D_11D3_88FB_0000834298E4_.wvu.PrintArea" localSheetId="2" hidden="1">#REF!</definedName>
    <definedName name="Z_3FDE5923_907D_11D3_88FB_0000834298E4_.wvu.PrintArea" hidden="1">#REF!</definedName>
    <definedName name="Z_3FDE5923_907D_11D3_88FB_0000834298E4_.wvu.PrintTitles" localSheetId="2" hidden="1">#REF!,#REF!</definedName>
    <definedName name="Z_3FDE5923_907D_11D3_88FB_0000834298E4_.wvu.PrintTitles" hidden="1">#REF!,#REF!</definedName>
    <definedName name="Z_3FDE5924_907D_11D3_88FB_0000834298E4_.wvu.PrintArea" localSheetId="2" hidden="1">#REF!</definedName>
    <definedName name="Z_3FDE5924_907D_11D3_88FB_0000834298E4_.wvu.PrintArea" hidden="1">#REF!</definedName>
    <definedName name="Z_3FDE5924_907D_11D3_88FB_0000834298E4_.wvu.PrintTitles" localSheetId="2" hidden="1">#REF!,#REF!</definedName>
    <definedName name="Z_3FDE5924_907D_11D3_88FB_0000834298E4_.wvu.PrintTitles" hidden="1">#REF!,#REF!</definedName>
    <definedName name="Z_3FDE5925_907D_11D3_88FB_0000834298E4_.wvu.PrintArea" localSheetId="2" hidden="1">#REF!</definedName>
    <definedName name="Z_3FDE5925_907D_11D3_88FB_0000834298E4_.wvu.PrintArea" hidden="1">#REF!</definedName>
    <definedName name="Z_3FDE5925_907D_11D3_88FB_0000834298E4_.wvu.PrintTitles" localSheetId="2" hidden="1">#REF!,#REF!</definedName>
    <definedName name="Z_3FDE5925_907D_11D3_88FB_0000834298E4_.wvu.PrintTitles" hidden="1">#REF!,#REF!</definedName>
    <definedName name="Z_3FDE5926_907D_11D3_88FB_0000834298E4_.wvu.PrintArea" localSheetId="2" hidden="1">#REF!</definedName>
    <definedName name="Z_3FDE5926_907D_11D3_88FB_0000834298E4_.wvu.PrintArea" hidden="1">#REF!</definedName>
    <definedName name="Z_3FDE5926_907D_11D3_88FB_0000834298E4_.wvu.PrintTitles" localSheetId="2" hidden="1">#REF!,#REF!</definedName>
    <definedName name="Z_3FDE5926_907D_11D3_88FB_0000834298E4_.wvu.PrintTitles" hidden="1">#REF!,#REF!</definedName>
    <definedName name="Z_3FDE5927_907D_11D3_88FB_0000834298E4_.wvu.PrintArea" localSheetId="2" hidden="1">#REF!</definedName>
    <definedName name="Z_3FDE5927_907D_11D3_88FB_0000834298E4_.wvu.PrintArea" hidden="1">#REF!</definedName>
    <definedName name="Z_3FDE5927_907D_11D3_88FB_0000834298E4_.wvu.PrintTitles" localSheetId="2" hidden="1">#REF!,#REF!</definedName>
    <definedName name="Z_3FDE5927_907D_11D3_88FB_0000834298E4_.wvu.PrintTitles" hidden="1">#REF!,#REF!</definedName>
    <definedName name="Z_52599C1A_5BCA_11D3_88E6_0000834298E4_.wvu.Cols" localSheetId="2" hidden="1">#REF!</definedName>
    <definedName name="Z_52599C1A_5BCA_11D3_88E6_0000834298E4_.wvu.Cols" hidden="1">#REF!</definedName>
    <definedName name="Z_52599C1A_5BCA_11D3_88E6_0000834298E4_.wvu.PrintArea" localSheetId="2" hidden="1">#REF!</definedName>
    <definedName name="Z_52599C1A_5BCA_11D3_88E6_0000834298E4_.wvu.PrintArea" hidden="1">#REF!</definedName>
    <definedName name="Z_52599C1A_5BCA_11D3_88E6_0000834298E4_.wvu.PrintTitles" localSheetId="2" hidden="1">'[1]dept finance data'!#REF!</definedName>
    <definedName name="Z_52599C1A_5BCA_11D3_88E6_0000834298E4_.wvu.PrintTitles" hidden="1">'[1]dept finance data'!#REF!</definedName>
    <definedName name="Z_52599C1C_5BCA_11D3_88E6_0000834298E4_.wvu.Cols" localSheetId="2" hidden="1">#REF!</definedName>
    <definedName name="Z_52599C1C_5BCA_11D3_88E6_0000834298E4_.wvu.Cols" hidden="1">#REF!</definedName>
    <definedName name="Z_52599C1C_5BCA_11D3_88E6_0000834298E4_.wvu.PrintArea" localSheetId="2" hidden="1">#REF!</definedName>
    <definedName name="Z_52599C1C_5BCA_11D3_88E6_0000834298E4_.wvu.PrintArea" hidden="1">#REF!</definedName>
    <definedName name="Z_52599C1C_5BCA_11D3_88E6_0000834298E4_.wvu.PrintTitles" localSheetId="2" hidden="1">'[1]dept finance data'!#REF!</definedName>
    <definedName name="Z_52599C1C_5BCA_11D3_88E6_0000834298E4_.wvu.PrintTitles" hidden="1">'[1]dept finance data'!#REF!</definedName>
    <definedName name="Z_52599C1E_5BCA_11D3_88E6_0000834298E4_.wvu.Cols" localSheetId="2" hidden="1">#REF!</definedName>
    <definedName name="Z_52599C1E_5BCA_11D3_88E6_0000834298E4_.wvu.Cols" hidden="1">#REF!</definedName>
    <definedName name="Z_52599C1E_5BCA_11D3_88E6_0000834298E4_.wvu.PrintArea" localSheetId="2" hidden="1">#REF!</definedName>
    <definedName name="Z_52599C1E_5BCA_11D3_88E6_0000834298E4_.wvu.PrintArea" hidden="1">#REF!</definedName>
    <definedName name="Z_52599C1E_5BCA_11D3_88E6_0000834298E4_.wvu.PrintTitles" localSheetId="2" hidden="1">'[1]dept finance data'!#REF!</definedName>
    <definedName name="Z_52599C1E_5BCA_11D3_88E6_0000834298E4_.wvu.PrintTitles" hidden="1">'[1]dept finance data'!#REF!</definedName>
    <definedName name="Z_52599EEC_5BCA_11D3_88E6_0000834298E4_.wvu.Cols" localSheetId="2" hidden="1">#REF!</definedName>
    <definedName name="Z_52599EEC_5BCA_11D3_88E6_0000834298E4_.wvu.Cols" hidden="1">#REF!</definedName>
    <definedName name="Z_52599EEC_5BCA_11D3_88E6_0000834298E4_.wvu.PrintArea" localSheetId="2" hidden="1">#REF!</definedName>
    <definedName name="Z_52599EEC_5BCA_11D3_88E6_0000834298E4_.wvu.PrintArea" hidden="1">#REF!</definedName>
    <definedName name="Z_52599EEC_5BCA_11D3_88E6_0000834298E4_.wvu.PrintTitles" localSheetId="2" hidden="1">'[1]dept finance data'!#REF!</definedName>
    <definedName name="Z_52599EEC_5BCA_11D3_88E6_0000834298E4_.wvu.PrintTitles" hidden="1">'[1]dept finance data'!#REF!</definedName>
    <definedName name="Z_52599EEE_5BCA_11D3_88E6_0000834298E4_.wvu.Cols" localSheetId="2" hidden="1">#REF!</definedName>
    <definedName name="Z_52599EEE_5BCA_11D3_88E6_0000834298E4_.wvu.Cols" hidden="1">#REF!</definedName>
    <definedName name="Z_52599EEE_5BCA_11D3_88E6_0000834298E4_.wvu.PrintArea" localSheetId="2" hidden="1">#REF!</definedName>
    <definedName name="Z_52599EEE_5BCA_11D3_88E6_0000834298E4_.wvu.PrintArea" hidden="1">#REF!</definedName>
    <definedName name="Z_52599EEE_5BCA_11D3_88E6_0000834298E4_.wvu.PrintTitles" localSheetId="2" hidden="1">'[1]dept finance data'!#REF!</definedName>
    <definedName name="Z_52599EEE_5BCA_11D3_88E6_0000834298E4_.wvu.PrintTitles" hidden="1">'[1]dept finance data'!#REF!</definedName>
    <definedName name="Z_52599EF0_5BCA_11D3_88E6_0000834298E4_.wvu.Cols" localSheetId="2" hidden="1">#REF!</definedName>
    <definedName name="Z_52599EF0_5BCA_11D3_88E6_0000834298E4_.wvu.Cols" hidden="1">#REF!</definedName>
    <definedName name="Z_52599EF0_5BCA_11D3_88E6_0000834298E4_.wvu.PrintArea" localSheetId="2" hidden="1">#REF!</definedName>
    <definedName name="Z_52599EF0_5BCA_11D3_88E6_0000834298E4_.wvu.PrintArea" hidden="1">#REF!</definedName>
    <definedName name="Z_52599EF0_5BCA_11D3_88E6_0000834298E4_.wvu.PrintTitles" localSheetId="2" hidden="1">'[1]dept finance data'!#REF!</definedName>
    <definedName name="Z_52599EF0_5BCA_11D3_88E6_0000834298E4_.wvu.PrintTitles" hidden="1">'[1]dept finance data'!#REF!</definedName>
    <definedName name="Z_5259A2CD_5BCA_11D3_88E6_0000834298E4_.wvu.Cols" localSheetId="2" hidden="1">#REF!</definedName>
    <definedName name="Z_5259A2CD_5BCA_11D3_88E6_0000834298E4_.wvu.Cols" hidden="1">#REF!</definedName>
    <definedName name="Z_5259A2CD_5BCA_11D3_88E6_0000834298E4_.wvu.PrintArea" localSheetId="2" hidden="1">#REF!</definedName>
    <definedName name="Z_5259A2CD_5BCA_11D3_88E6_0000834298E4_.wvu.PrintArea" hidden="1">#REF!</definedName>
    <definedName name="Z_5259A2CD_5BCA_11D3_88E6_0000834298E4_.wvu.PrintTitles" localSheetId="2" hidden="1">'[1]dept finance data'!#REF!</definedName>
    <definedName name="Z_5259A2CD_5BCA_11D3_88E6_0000834298E4_.wvu.PrintTitles" hidden="1">'[1]dept finance data'!#REF!</definedName>
    <definedName name="Z_5259A2CF_5BCA_11D3_88E6_0000834298E4_.wvu.Cols" localSheetId="2" hidden="1">#REF!</definedName>
    <definedName name="Z_5259A2CF_5BCA_11D3_88E6_0000834298E4_.wvu.Cols" hidden="1">#REF!</definedName>
    <definedName name="Z_5259A2CF_5BCA_11D3_88E6_0000834298E4_.wvu.PrintArea" localSheetId="2" hidden="1">#REF!</definedName>
    <definedName name="Z_5259A2CF_5BCA_11D3_88E6_0000834298E4_.wvu.PrintArea" hidden="1">#REF!</definedName>
    <definedName name="Z_5259A2CF_5BCA_11D3_88E6_0000834298E4_.wvu.PrintTitles" localSheetId="2" hidden="1">'[1]dept finance data'!#REF!</definedName>
    <definedName name="Z_5259A2CF_5BCA_11D3_88E6_0000834298E4_.wvu.PrintTitles" hidden="1">'[1]dept finance data'!#REF!</definedName>
    <definedName name="Z_5259A2D1_5BCA_11D3_88E6_0000834298E4_.wvu.Cols" localSheetId="2" hidden="1">#REF!</definedName>
    <definedName name="Z_5259A2D1_5BCA_11D3_88E6_0000834298E4_.wvu.Cols" hidden="1">#REF!</definedName>
    <definedName name="Z_5259A2D1_5BCA_11D3_88E6_0000834298E4_.wvu.PrintArea" localSheetId="2" hidden="1">#REF!</definedName>
    <definedName name="Z_5259A2D1_5BCA_11D3_88E6_0000834298E4_.wvu.PrintArea" hidden="1">#REF!</definedName>
    <definedName name="Z_5259A2D1_5BCA_11D3_88E6_0000834298E4_.wvu.PrintTitles" localSheetId="2" hidden="1">'[1]dept finance data'!#REF!</definedName>
    <definedName name="Z_5259A2D1_5BCA_11D3_88E6_0000834298E4_.wvu.PrintTitles" hidden="1">'[1]dept finance data'!#REF!</definedName>
    <definedName name="Z_5259A4C0_5BCA_11D3_88E6_0000834298E4_.wvu.Cols" localSheetId="2" hidden="1">#REF!</definedName>
    <definedName name="Z_5259A4C0_5BCA_11D3_88E6_0000834298E4_.wvu.Cols" hidden="1">#REF!</definedName>
    <definedName name="Z_5259A4C0_5BCA_11D3_88E6_0000834298E4_.wvu.PrintArea" localSheetId="2" hidden="1">#REF!</definedName>
    <definedName name="Z_5259A4C0_5BCA_11D3_88E6_0000834298E4_.wvu.PrintArea" hidden="1">#REF!</definedName>
    <definedName name="Z_5259A4C0_5BCA_11D3_88E6_0000834298E4_.wvu.PrintTitles" localSheetId="2" hidden="1">'[1]dept finance data'!#REF!</definedName>
    <definedName name="Z_5259A4C0_5BCA_11D3_88E6_0000834298E4_.wvu.PrintTitles" hidden="1">'[1]dept finance data'!#REF!</definedName>
    <definedName name="Z_5259A4C2_5BCA_11D3_88E6_0000834298E4_.wvu.Cols" localSheetId="2" hidden="1">#REF!</definedName>
    <definedName name="Z_5259A4C2_5BCA_11D3_88E6_0000834298E4_.wvu.Cols" hidden="1">#REF!</definedName>
    <definedName name="Z_5259A4C2_5BCA_11D3_88E6_0000834298E4_.wvu.PrintArea" localSheetId="2" hidden="1">#REF!</definedName>
    <definedName name="Z_5259A4C2_5BCA_11D3_88E6_0000834298E4_.wvu.PrintArea" hidden="1">#REF!</definedName>
    <definedName name="Z_5259A4C2_5BCA_11D3_88E6_0000834298E4_.wvu.PrintTitles" localSheetId="2" hidden="1">'[1]dept finance data'!#REF!</definedName>
    <definedName name="Z_5259A4C2_5BCA_11D3_88E6_0000834298E4_.wvu.PrintTitles" hidden="1">'[1]dept finance data'!#REF!</definedName>
    <definedName name="Z_5259A4C4_5BCA_11D3_88E6_0000834298E4_.wvu.Cols" localSheetId="2" hidden="1">#REF!</definedName>
    <definedName name="Z_5259A4C4_5BCA_11D3_88E6_0000834298E4_.wvu.Cols" hidden="1">#REF!</definedName>
    <definedName name="Z_5259A4C4_5BCA_11D3_88E6_0000834298E4_.wvu.PrintArea" localSheetId="2" hidden="1">#REF!</definedName>
    <definedName name="Z_5259A4C4_5BCA_11D3_88E6_0000834298E4_.wvu.PrintArea" hidden="1">#REF!</definedName>
    <definedName name="Z_5259A4C4_5BCA_11D3_88E6_0000834298E4_.wvu.PrintTitles" localSheetId="2" hidden="1">'[1]dept finance data'!#REF!</definedName>
    <definedName name="Z_5259A4C4_5BCA_11D3_88E6_0000834298E4_.wvu.PrintTitles" hidden="1">'[1]dept finance data'!#REF!</definedName>
    <definedName name="Z_575FE831_9D22_11D3_8909_0000834298E4_.wvu.PrintArea" localSheetId="2" hidden="1">#REF!</definedName>
    <definedName name="Z_575FE831_9D22_11D3_8909_0000834298E4_.wvu.PrintArea" hidden="1">#REF!</definedName>
    <definedName name="Z_575FE831_9D22_11D3_8909_0000834298E4_.wvu.PrintTitles" localSheetId="2" hidden="1">#REF!,#REF!</definedName>
    <definedName name="Z_575FE831_9D22_11D3_8909_0000834298E4_.wvu.PrintTitles" hidden="1">#REF!,#REF!</definedName>
    <definedName name="Z_575FE832_9D22_11D3_8909_0000834298E4_.wvu.PrintArea" localSheetId="2" hidden="1">#REF!</definedName>
    <definedName name="Z_575FE832_9D22_11D3_8909_0000834298E4_.wvu.PrintArea" hidden="1">#REF!</definedName>
    <definedName name="Z_575FE832_9D22_11D3_8909_0000834298E4_.wvu.PrintTitles" localSheetId="2" hidden="1">#REF!,#REF!</definedName>
    <definedName name="Z_575FE832_9D22_11D3_8909_0000834298E4_.wvu.PrintTitles" hidden="1">#REF!,#REF!</definedName>
    <definedName name="Z_575FE833_9D22_11D3_8909_0000834298E4_.wvu.PrintArea" localSheetId="2" hidden="1">#REF!</definedName>
    <definedName name="Z_575FE833_9D22_11D3_8909_0000834298E4_.wvu.PrintArea" hidden="1">#REF!</definedName>
    <definedName name="Z_575FE833_9D22_11D3_8909_0000834298E4_.wvu.PrintTitles" localSheetId="2" hidden="1">#REF!,#REF!</definedName>
    <definedName name="Z_575FE833_9D22_11D3_8909_0000834298E4_.wvu.PrintTitles" hidden="1">#REF!,#REF!</definedName>
    <definedName name="Z_575FE834_9D22_11D3_8909_0000834298E4_.wvu.PrintArea" localSheetId="2" hidden="1">#REF!</definedName>
    <definedName name="Z_575FE834_9D22_11D3_8909_0000834298E4_.wvu.PrintArea" hidden="1">#REF!</definedName>
    <definedName name="Z_575FE834_9D22_11D3_8909_0000834298E4_.wvu.PrintTitles" localSheetId="2" hidden="1">#REF!,#REF!</definedName>
    <definedName name="Z_575FE834_9D22_11D3_8909_0000834298E4_.wvu.PrintTitles" hidden="1">#REF!,#REF!</definedName>
    <definedName name="Z_575FE835_9D22_11D3_8909_0000834298E4_.wvu.PrintArea" localSheetId="2" hidden="1">#REF!</definedName>
    <definedName name="Z_575FE835_9D22_11D3_8909_0000834298E4_.wvu.PrintArea" hidden="1">#REF!</definedName>
    <definedName name="Z_575FE835_9D22_11D3_8909_0000834298E4_.wvu.PrintTitles" localSheetId="2" hidden="1">#REF!,#REF!</definedName>
    <definedName name="Z_575FE835_9D22_11D3_8909_0000834298E4_.wvu.PrintTitles" hidden="1">#REF!,#REF!</definedName>
    <definedName name="Z_58811516_5B2E_11D3_88E5_0000834298E4_.wvu.Cols" localSheetId="2" hidden="1">#REF!</definedName>
    <definedName name="Z_58811516_5B2E_11D3_88E5_0000834298E4_.wvu.Cols" hidden="1">#REF!</definedName>
    <definedName name="Z_58811516_5B2E_11D3_88E5_0000834298E4_.wvu.PrintArea" localSheetId="2" hidden="1">#REF!</definedName>
    <definedName name="Z_58811516_5B2E_11D3_88E5_0000834298E4_.wvu.PrintArea" hidden="1">#REF!</definedName>
    <definedName name="Z_58811516_5B2E_11D3_88E5_0000834298E4_.wvu.PrintTitles" localSheetId="2" hidden="1">'[1]dept finance data'!#REF!</definedName>
    <definedName name="Z_58811516_5B2E_11D3_88E5_0000834298E4_.wvu.PrintTitles" hidden="1">'[1]dept finance data'!#REF!</definedName>
    <definedName name="Z_58811518_5B2E_11D3_88E5_0000834298E4_.wvu.Cols" localSheetId="2" hidden="1">#REF!</definedName>
    <definedName name="Z_58811518_5B2E_11D3_88E5_0000834298E4_.wvu.Cols" hidden="1">#REF!</definedName>
    <definedName name="Z_58811518_5B2E_11D3_88E5_0000834298E4_.wvu.PrintArea" localSheetId="2" hidden="1">#REF!</definedName>
    <definedName name="Z_58811518_5B2E_11D3_88E5_0000834298E4_.wvu.PrintArea" hidden="1">#REF!</definedName>
    <definedName name="Z_58811518_5B2E_11D3_88E5_0000834298E4_.wvu.PrintTitles" localSheetId="2" hidden="1">'[1]dept finance data'!#REF!</definedName>
    <definedName name="Z_58811518_5B2E_11D3_88E5_0000834298E4_.wvu.PrintTitles" hidden="1">'[1]dept finance data'!#REF!</definedName>
    <definedName name="Z_5881151A_5B2E_11D3_88E5_0000834298E4_.wvu.Cols" localSheetId="2" hidden="1">#REF!</definedName>
    <definedName name="Z_5881151A_5B2E_11D3_88E5_0000834298E4_.wvu.Cols" hidden="1">#REF!</definedName>
    <definedName name="Z_5881151A_5B2E_11D3_88E5_0000834298E4_.wvu.PrintArea" localSheetId="2" hidden="1">#REF!</definedName>
    <definedName name="Z_5881151A_5B2E_11D3_88E5_0000834298E4_.wvu.PrintArea" hidden="1">#REF!</definedName>
    <definedName name="Z_5881151A_5B2E_11D3_88E5_0000834298E4_.wvu.PrintTitles" localSheetId="2" hidden="1">'[1]dept finance data'!#REF!</definedName>
    <definedName name="Z_5881151A_5B2E_11D3_88E5_0000834298E4_.wvu.PrintTitles" hidden="1">'[1]dept finance data'!#REF!</definedName>
    <definedName name="Z_806DABE2_654D_11D3_88F1_0000834298E4_.wvu.PrintArea" localSheetId="2" hidden="1">#REF!</definedName>
    <definedName name="Z_806DABE2_654D_11D3_88F1_0000834298E4_.wvu.PrintArea" hidden="1">#REF!</definedName>
    <definedName name="Z_806DABE2_654D_11D3_88F1_0000834298E4_.wvu.PrintTitles" localSheetId="2" hidden="1">#REF!,#REF!</definedName>
    <definedName name="Z_806DABE2_654D_11D3_88F1_0000834298E4_.wvu.PrintTitles" hidden="1">#REF!,#REF!</definedName>
    <definedName name="Z_806DABE3_654D_11D3_88F1_0000834298E4_.wvu.PrintArea" localSheetId="2" hidden="1">#REF!</definedName>
    <definedName name="Z_806DABE3_654D_11D3_88F1_0000834298E4_.wvu.PrintArea" hidden="1">#REF!</definedName>
    <definedName name="Z_806DABE3_654D_11D3_88F1_0000834298E4_.wvu.PrintTitles" localSheetId="2" hidden="1">#REF!,#REF!</definedName>
    <definedName name="Z_806DABE3_654D_11D3_88F1_0000834298E4_.wvu.PrintTitles" hidden="1">#REF!,#REF!</definedName>
    <definedName name="Z_806DABE4_654D_11D3_88F1_0000834298E4_.wvu.PrintArea" localSheetId="2" hidden="1">#REF!</definedName>
    <definedName name="Z_806DABE4_654D_11D3_88F1_0000834298E4_.wvu.PrintArea" hidden="1">#REF!</definedName>
    <definedName name="Z_806DABE4_654D_11D3_88F1_0000834298E4_.wvu.PrintTitles" localSheetId="2" hidden="1">#REF!,#REF!</definedName>
    <definedName name="Z_806DABE4_654D_11D3_88F1_0000834298E4_.wvu.PrintTitles" hidden="1">#REF!,#REF!</definedName>
    <definedName name="Z_806DABE5_654D_11D3_88F1_0000834298E4_.wvu.PrintArea" localSheetId="2" hidden="1">#REF!</definedName>
    <definedName name="Z_806DABE5_654D_11D3_88F1_0000834298E4_.wvu.PrintArea" hidden="1">#REF!</definedName>
    <definedName name="Z_806DABE5_654D_11D3_88F1_0000834298E4_.wvu.PrintTitles" localSheetId="2" hidden="1">#REF!,#REF!</definedName>
    <definedName name="Z_806DABE5_654D_11D3_88F1_0000834298E4_.wvu.PrintTitles" hidden="1">#REF!,#REF!</definedName>
    <definedName name="Z_806DABE6_654D_11D3_88F1_0000834298E4_.wvu.PrintArea" localSheetId="2" hidden="1">#REF!</definedName>
    <definedName name="Z_806DABE6_654D_11D3_88F1_0000834298E4_.wvu.PrintArea" hidden="1">#REF!</definedName>
    <definedName name="Z_806DABE6_654D_11D3_88F1_0000834298E4_.wvu.PrintTitles" localSheetId="2" hidden="1">#REF!,#REF!</definedName>
    <definedName name="Z_806DABE6_654D_11D3_88F1_0000834298E4_.wvu.PrintTitles" hidden="1">#REF!,#REF!</definedName>
    <definedName name="Z_806DAC53_654D_11D3_88F1_0000834298E4_.wvu.PrintArea" localSheetId="2" hidden="1">#REF!</definedName>
    <definedName name="Z_806DAC53_654D_11D3_88F1_0000834298E4_.wvu.PrintArea" hidden="1">#REF!</definedName>
    <definedName name="Z_806DAC53_654D_11D3_88F1_0000834298E4_.wvu.PrintTitles" localSheetId="2" hidden="1">#REF!,#REF!</definedName>
    <definedName name="Z_806DAC53_654D_11D3_88F1_0000834298E4_.wvu.PrintTitles" hidden="1">#REF!,#REF!</definedName>
    <definedName name="Z_806DAC54_654D_11D3_88F1_0000834298E4_.wvu.PrintArea" localSheetId="2" hidden="1">#REF!</definedName>
    <definedName name="Z_806DAC54_654D_11D3_88F1_0000834298E4_.wvu.PrintArea" hidden="1">#REF!</definedName>
    <definedName name="Z_806DAC54_654D_11D3_88F1_0000834298E4_.wvu.PrintTitles" localSheetId="2" hidden="1">#REF!,#REF!</definedName>
    <definedName name="Z_806DAC54_654D_11D3_88F1_0000834298E4_.wvu.PrintTitles" hidden="1">#REF!,#REF!</definedName>
    <definedName name="Z_806DAC55_654D_11D3_88F1_0000834298E4_.wvu.PrintArea" localSheetId="2" hidden="1">#REF!</definedName>
    <definedName name="Z_806DAC55_654D_11D3_88F1_0000834298E4_.wvu.PrintArea" hidden="1">#REF!</definedName>
    <definedName name="Z_806DAC55_654D_11D3_88F1_0000834298E4_.wvu.PrintTitles" localSheetId="2" hidden="1">#REF!,#REF!</definedName>
    <definedName name="Z_806DAC55_654D_11D3_88F1_0000834298E4_.wvu.PrintTitles" hidden="1">#REF!,#REF!</definedName>
    <definedName name="Z_806DAC56_654D_11D3_88F1_0000834298E4_.wvu.PrintArea" localSheetId="2" hidden="1">#REF!</definedName>
    <definedName name="Z_806DAC56_654D_11D3_88F1_0000834298E4_.wvu.PrintArea" hidden="1">#REF!</definedName>
    <definedName name="Z_806DAC56_654D_11D3_88F1_0000834298E4_.wvu.PrintTitles" localSheetId="2" hidden="1">#REF!,#REF!</definedName>
    <definedName name="Z_806DAC56_654D_11D3_88F1_0000834298E4_.wvu.PrintTitles" hidden="1">#REF!,#REF!</definedName>
    <definedName name="Z_806DAC57_654D_11D3_88F1_0000834298E4_.wvu.PrintArea" localSheetId="2" hidden="1">#REF!</definedName>
    <definedName name="Z_806DAC57_654D_11D3_88F1_0000834298E4_.wvu.PrintArea" hidden="1">#REF!</definedName>
    <definedName name="Z_806DAC57_654D_11D3_88F1_0000834298E4_.wvu.PrintTitles" localSheetId="2" hidden="1">#REF!,#REF!</definedName>
    <definedName name="Z_806DAC57_654D_11D3_88F1_0000834298E4_.wvu.PrintTitles" hidden="1">#REF!,#REF!</definedName>
    <definedName name="Z_806DACFE_654D_11D3_88F1_0000834298E4_.wvu.PrintArea" localSheetId="2" hidden="1">#REF!</definedName>
    <definedName name="Z_806DACFE_654D_11D3_88F1_0000834298E4_.wvu.PrintArea" hidden="1">#REF!</definedName>
    <definedName name="Z_806DACFE_654D_11D3_88F1_0000834298E4_.wvu.PrintTitles" localSheetId="2" hidden="1">#REF!,#REF!</definedName>
    <definedName name="Z_806DACFE_654D_11D3_88F1_0000834298E4_.wvu.PrintTitles" hidden="1">#REF!,#REF!</definedName>
    <definedName name="Z_806DACFF_654D_11D3_88F1_0000834298E4_.wvu.PrintArea" localSheetId="2" hidden="1">#REF!</definedName>
    <definedName name="Z_806DACFF_654D_11D3_88F1_0000834298E4_.wvu.PrintArea" hidden="1">#REF!</definedName>
    <definedName name="Z_806DACFF_654D_11D3_88F1_0000834298E4_.wvu.PrintTitles" localSheetId="2" hidden="1">#REF!,#REF!</definedName>
    <definedName name="Z_806DACFF_654D_11D3_88F1_0000834298E4_.wvu.PrintTitles" hidden="1">#REF!,#REF!</definedName>
    <definedName name="Z_806DAD00_654D_11D3_88F1_0000834298E4_.wvu.PrintArea" localSheetId="2" hidden="1">#REF!</definedName>
    <definedName name="Z_806DAD00_654D_11D3_88F1_0000834298E4_.wvu.PrintArea" hidden="1">#REF!</definedName>
    <definedName name="Z_806DAD00_654D_11D3_88F1_0000834298E4_.wvu.PrintTitles" localSheetId="2" hidden="1">#REF!,#REF!</definedName>
    <definedName name="Z_806DAD00_654D_11D3_88F1_0000834298E4_.wvu.PrintTitles" hidden="1">#REF!,#REF!</definedName>
    <definedName name="Z_806DAD01_654D_11D3_88F1_0000834298E4_.wvu.PrintArea" localSheetId="2" hidden="1">#REF!</definedName>
    <definedName name="Z_806DAD01_654D_11D3_88F1_0000834298E4_.wvu.PrintArea" hidden="1">#REF!</definedName>
    <definedName name="Z_806DAD01_654D_11D3_88F1_0000834298E4_.wvu.PrintTitles" localSheetId="2" hidden="1">#REF!,#REF!</definedName>
    <definedName name="Z_806DAD01_654D_11D3_88F1_0000834298E4_.wvu.PrintTitles" hidden="1">#REF!,#REF!</definedName>
    <definedName name="Z_806DAD02_654D_11D3_88F1_0000834298E4_.wvu.PrintArea" localSheetId="2" hidden="1">#REF!</definedName>
    <definedName name="Z_806DAD02_654D_11D3_88F1_0000834298E4_.wvu.PrintArea" hidden="1">#REF!</definedName>
    <definedName name="Z_806DAD02_654D_11D3_88F1_0000834298E4_.wvu.PrintTitles" localSheetId="2" hidden="1">#REF!,#REF!</definedName>
    <definedName name="Z_806DAD02_654D_11D3_88F1_0000834298E4_.wvu.PrintTitles" hidden="1">#REF!,#REF!</definedName>
    <definedName name="Z_87D90C58_8651_11D3_88F0_0000834298E4_.wvu.PrintArea" localSheetId="2" hidden="1">#REF!</definedName>
    <definedName name="Z_87D90C58_8651_11D3_88F0_0000834298E4_.wvu.PrintArea" hidden="1">#REF!</definedName>
    <definedName name="Z_87D90C58_8651_11D3_88F0_0000834298E4_.wvu.PrintTitles" localSheetId="2" hidden="1">#REF!,#REF!</definedName>
    <definedName name="Z_87D90C58_8651_11D3_88F0_0000834298E4_.wvu.PrintTitles" hidden="1">#REF!,#REF!</definedName>
    <definedName name="Z_87D90C59_8651_11D3_88F0_0000834298E4_.wvu.PrintArea" localSheetId="2" hidden="1">#REF!</definedName>
    <definedName name="Z_87D90C59_8651_11D3_88F0_0000834298E4_.wvu.PrintArea" hidden="1">#REF!</definedName>
    <definedName name="Z_87D90C59_8651_11D3_88F0_0000834298E4_.wvu.PrintTitles" localSheetId="2" hidden="1">#REF!,#REF!</definedName>
    <definedName name="Z_87D90C59_8651_11D3_88F0_0000834298E4_.wvu.PrintTitles" hidden="1">#REF!,#REF!</definedName>
    <definedName name="Z_87D90C5A_8651_11D3_88F0_0000834298E4_.wvu.PrintArea" localSheetId="2" hidden="1">#REF!</definedName>
    <definedName name="Z_87D90C5A_8651_11D3_88F0_0000834298E4_.wvu.PrintArea" hidden="1">#REF!</definedName>
    <definedName name="Z_87D90C5A_8651_11D3_88F0_0000834298E4_.wvu.PrintTitles" localSheetId="2" hidden="1">#REF!,#REF!</definedName>
    <definedName name="Z_87D90C5A_8651_11D3_88F0_0000834298E4_.wvu.PrintTitles" hidden="1">#REF!,#REF!</definedName>
    <definedName name="Z_87D90C5B_8651_11D3_88F0_0000834298E4_.wvu.PrintArea" localSheetId="2" hidden="1">#REF!</definedName>
    <definedName name="Z_87D90C5B_8651_11D3_88F0_0000834298E4_.wvu.PrintArea" hidden="1">#REF!</definedName>
    <definedName name="Z_87D90C5B_8651_11D3_88F0_0000834298E4_.wvu.PrintTitles" localSheetId="2" hidden="1">#REF!,#REF!</definedName>
    <definedName name="Z_87D90C5B_8651_11D3_88F0_0000834298E4_.wvu.PrintTitles" hidden="1">#REF!,#REF!</definedName>
    <definedName name="Z_87D90C5C_8651_11D3_88F0_0000834298E4_.wvu.PrintArea" localSheetId="2" hidden="1">#REF!</definedName>
    <definedName name="Z_87D90C5C_8651_11D3_88F0_0000834298E4_.wvu.PrintArea" hidden="1">#REF!</definedName>
    <definedName name="Z_87D90C5C_8651_11D3_88F0_0000834298E4_.wvu.PrintTitles" localSheetId="2" hidden="1">#REF!,#REF!</definedName>
    <definedName name="Z_87D90C5C_8651_11D3_88F0_0000834298E4_.wvu.PrintTitles" hidden="1">#REF!,#REF!</definedName>
    <definedName name="Z_92008C7C_75E1_11D3_8904_0000834298E4_.wvu.PrintArea" localSheetId="2" hidden="1">#REF!</definedName>
    <definedName name="Z_92008C7C_75E1_11D3_8904_0000834298E4_.wvu.PrintArea" hidden="1">#REF!</definedName>
    <definedName name="Z_92008C7C_75E1_11D3_8904_0000834298E4_.wvu.PrintTitles" localSheetId="2" hidden="1">#REF!,#REF!</definedName>
    <definedName name="Z_92008C7C_75E1_11D3_8904_0000834298E4_.wvu.PrintTitles" hidden="1">#REF!,#REF!</definedName>
    <definedName name="Z_92008C7D_75E1_11D3_8904_0000834298E4_.wvu.PrintArea" localSheetId="2" hidden="1">#REF!</definedName>
    <definedName name="Z_92008C7D_75E1_11D3_8904_0000834298E4_.wvu.PrintArea" hidden="1">#REF!</definedName>
    <definedName name="Z_92008C7D_75E1_11D3_8904_0000834298E4_.wvu.PrintTitles" localSheetId="2" hidden="1">#REF!,#REF!</definedName>
    <definedName name="Z_92008C7D_75E1_11D3_8904_0000834298E4_.wvu.PrintTitles" hidden="1">#REF!,#REF!</definedName>
    <definedName name="Z_92008C7E_75E1_11D3_8904_0000834298E4_.wvu.PrintArea" localSheetId="2" hidden="1">#REF!</definedName>
    <definedName name="Z_92008C7E_75E1_11D3_8904_0000834298E4_.wvu.PrintArea" hidden="1">#REF!</definedName>
    <definedName name="Z_92008C7E_75E1_11D3_8904_0000834298E4_.wvu.PrintTitles" localSheetId="2" hidden="1">#REF!,#REF!</definedName>
    <definedName name="Z_92008C7E_75E1_11D3_8904_0000834298E4_.wvu.PrintTitles" hidden="1">#REF!,#REF!</definedName>
    <definedName name="Z_92008C7F_75E1_11D3_8904_0000834298E4_.wvu.PrintArea" localSheetId="2" hidden="1">#REF!</definedName>
    <definedName name="Z_92008C7F_75E1_11D3_8904_0000834298E4_.wvu.PrintArea" hidden="1">#REF!</definedName>
    <definedName name="Z_92008C7F_75E1_11D3_8904_0000834298E4_.wvu.PrintTitles" localSheetId="2" hidden="1">#REF!,#REF!</definedName>
    <definedName name="Z_92008C7F_75E1_11D3_8904_0000834298E4_.wvu.PrintTitles" hidden="1">#REF!,#REF!</definedName>
    <definedName name="Z_92008C80_75E1_11D3_8904_0000834298E4_.wvu.PrintArea" localSheetId="2" hidden="1">#REF!</definedName>
    <definedName name="Z_92008C80_75E1_11D3_8904_0000834298E4_.wvu.PrintArea" hidden="1">#REF!</definedName>
    <definedName name="Z_92008C80_75E1_11D3_8904_0000834298E4_.wvu.PrintTitles" localSheetId="2" hidden="1">#REF!,#REF!</definedName>
    <definedName name="Z_92008C80_75E1_11D3_8904_0000834298E4_.wvu.PrintTitles" hidden="1">#REF!,#REF!</definedName>
    <definedName name="Z_96F242F7_9792_11D3_8905_0000834298E4_.wvu.PrintArea" localSheetId="2" hidden="1">#REF!</definedName>
    <definedName name="Z_96F242F7_9792_11D3_8905_0000834298E4_.wvu.PrintArea" hidden="1">#REF!</definedName>
    <definedName name="Z_96F242F7_9792_11D3_8905_0000834298E4_.wvu.PrintTitles" localSheetId="2" hidden="1">#REF!,#REF!</definedName>
    <definedName name="Z_96F242F7_9792_11D3_8905_0000834298E4_.wvu.PrintTitles" hidden="1">#REF!,#REF!</definedName>
    <definedName name="Z_96F242F8_9792_11D3_8905_0000834298E4_.wvu.PrintArea" localSheetId="2" hidden="1">#REF!</definedName>
    <definedName name="Z_96F242F8_9792_11D3_8905_0000834298E4_.wvu.PrintArea" hidden="1">#REF!</definedName>
    <definedName name="Z_96F242F8_9792_11D3_8905_0000834298E4_.wvu.PrintTitles" localSheetId="2" hidden="1">#REF!,#REF!</definedName>
    <definedName name="Z_96F242F8_9792_11D3_8905_0000834298E4_.wvu.PrintTitles" hidden="1">#REF!,#REF!</definedName>
    <definedName name="Z_96F242F9_9792_11D3_8905_0000834298E4_.wvu.PrintArea" localSheetId="2" hidden="1">#REF!</definedName>
    <definedName name="Z_96F242F9_9792_11D3_8905_0000834298E4_.wvu.PrintArea" hidden="1">#REF!</definedName>
    <definedName name="Z_96F242F9_9792_11D3_8905_0000834298E4_.wvu.PrintTitles" localSheetId="2" hidden="1">#REF!,#REF!</definedName>
    <definedName name="Z_96F242F9_9792_11D3_8905_0000834298E4_.wvu.PrintTitles" hidden="1">#REF!,#REF!</definedName>
    <definedName name="Z_96F242FA_9792_11D3_8905_0000834298E4_.wvu.PrintArea" localSheetId="2" hidden="1">#REF!</definedName>
    <definedName name="Z_96F242FA_9792_11D3_8905_0000834298E4_.wvu.PrintArea" hidden="1">#REF!</definedName>
    <definedName name="Z_96F242FA_9792_11D3_8905_0000834298E4_.wvu.PrintTitles" localSheetId="2" hidden="1">#REF!,#REF!</definedName>
    <definedName name="Z_96F242FA_9792_11D3_8905_0000834298E4_.wvu.PrintTitles" hidden="1">#REF!,#REF!</definedName>
    <definedName name="Z_96F242FB_9792_11D3_8905_0000834298E4_.wvu.PrintArea" localSheetId="2" hidden="1">#REF!</definedName>
    <definedName name="Z_96F242FB_9792_11D3_8905_0000834298E4_.wvu.PrintArea" hidden="1">#REF!</definedName>
    <definedName name="Z_96F242FB_9792_11D3_8905_0000834298E4_.wvu.PrintTitles" localSheetId="2" hidden="1">#REF!,#REF!</definedName>
    <definedName name="Z_96F242FB_9792_11D3_8905_0000834298E4_.wvu.PrintTitles" hidden="1">#REF!,#REF!</definedName>
    <definedName name="Z_9E133267_5193_11D3_9C74_0020352B7F13_.wvu.Cols" localSheetId="2" hidden="1">'[1]dept finance data'!#REF!</definedName>
    <definedName name="Z_9E133267_5193_11D3_9C74_0020352B7F13_.wvu.Cols" hidden="1">'[1]dept finance data'!#REF!</definedName>
    <definedName name="Z_9E133267_5193_11D3_9C74_0020352B7F13_.wvu.PrintArea" localSheetId="2" hidden="1">#REF!</definedName>
    <definedName name="Z_9E133267_5193_11D3_9C74_0020352B7F13_.wvu.PrintArea" hidden="1">#REF!</definedName>
    <definedName name="Z_9E133267_5193_11D3_9C74_0020352B7F13_.wvu.PrintTitles" localSheetId="2" hidden="1">'[1]dept finance data'!#REF!</definedName>
    <definedName name="Z_9E133267_5193_11D3_9C74_0020352B7F13_.wvu.PrintTitles" hidden="1">'[1]dept finance data'!#REF!</definedName>
    <definedName name="Z_9E133268_5193_11D3_9C74_0020352B7F13_.wvu.Cols" localSheetId="2" hidden="1">'[1]dept finance data'!#REF!</definedName>
    <definedName name="Z_9E133268_5193_11D3_9C74_0020352B7F13_.wvu.Cols" hidden="1">'[1]dept finance data'!#REF!</definedName>
    <definedName name="Z_9E133268_5193_11D3_9C74_0020352B7F13_.wvu.PrintArea" localSheetId="2" hidden="1">#REF!</definedName>
    <definedName name="Z_9E133268_5193_11D3_9C74_0020352B7F13_.wvu.PrintArea" hidden="1">#REF!</definedName>
    <definedName name="Z_9E133268_5193_11D3_9C74_0020352B7F13_.wvu.PrintTitles" localSheetId="2" hidden="1">'[1]dept finance data'!#REF!</definedName>
    <definedName name="Z_9E133268_5193_11D3_9C74_0020352B7F13_.wvu.PrintTitles" hidden="1">'[1]dept finance data'!#REF!</definedName>
    <definedName name="Z_9E133269_5193_11D3_9C74_0020352B7F13_.wvu.Cols" localSheetId="2" hidden="1">'[1]dept finance data'!#REF!</definedName>
    <definedName name="Z_9E133269_5193_11D3_9C74_0020352B7F13_.wvu.Cols" hidden="1">'[1]dept finance data'!#REF!</definedName>
    <definedName name="Z_9E133269_5193_11D3_9C74_0020352B7F13_.wvu.PrintArea" localSheetId="2" hidden="1">#REF!</definedName>
    <definedName name="Z_9E133269_5193_11D3_9C74_0020352B7F13_.wvu.PrintArea" hidden="1">#REF!</definedName>
    <definedName name="Z_9E133269_5193_11D3_9C74_0020352B7F13_.wvu.PrintTitles" localSheetId="2" hidden="1">'[1]dept finance data'!#REF!</definedName>
    <definedName name="Z_9E133269_5193_11D3_9C74_0020352B7F13_.wvu.PrintTitles" hidden="1">'[1]dept finance data'!#REF!</definedName>
    <definedName name="Z_9E133318_5193_11D3_9C74_0020352B7F13_.wvu.PrintArea" localSheetId="2" hidden="1">#REF!</definedName>
    <definedName name="Z_9E133318_5193_11D3_9C74_0020352B7F13_.wvu.PrintArea" hidden="1">#REF!</definedName>
    <definedName name="Z_9E133318_5193_11D3_9C74_0020352B7F13_.wvu.PrintTitles" localSheetId="2" hidden="1">'[1]dept finance data'!#REF!</definedName>
    <definedName name="Z_9E133318_5193_11D3_9C74_0020352B7F13_.wvu.PrintTitles" hidden="1">'[1]dept finance data'!#REF!</definedName>
    <definedName name="Z_9E133319_5193_11D3_9C74_0020352B7F13_.wvu.PrintArea" localSheetId="2" hidden="1">#REF!</definedName>
    <definedName name="Z_9E133319_5193_11D3_9C74_0020352B7F13_.wvu.PrintArea" hidden="1">#REF!</definedName>
    <definedName name="Z_9E133319_5193_11D3_9C74_0020352B7F13_.wvu.PrintTitles" localSheetId="2" hidden="1">'[1]dept finance data'!#REF!</definedName>
    <definedName name="Z_9E133319_5193_11D3_9C74_0020352B7F13_.wvu.PrintTitles" hidden="1">'[1]dept finance data'!#REF!</definedName>
    <definedName name="Z_9E13331A_5193_11D3_9C74_0020352B7F13_.wvu.PrintArea" localSheetId="2" hidden="1">#REF!</definedName>
    <definedName name="Z_9E13331A_5193_11D3_9C74_0020352B7F13_.wvu.PrintArea" hidden="1">#REF!</definedName>
    <definedName name="Z_9E13331A_5193_11D3_9C74_0020352B7F13_.wvu.PrintTitles" localSheetId="2" hidden="1">'[1]dept finance data'!#REF!</definedName>
    <definedName name="Z_9E13331A_5193_11D3_9C74_0020352B7F13_.wvu.PrintTitles" hidden="1">'[1]dept finance data'!#REF!</definedName>
    <definedName name="Z_AC271C04_66FD_11D3_88F4_0000834298E4_.wvu.Cols" localSheetId="2" hidden="1">#REF!</definedName>
    <definedName name="Z_AC271C04_66FD_11D3_88F4_0000834298E4_.wvu.Cols" hidden="1">#REF!</definedName>
    <definedName name="Z_AC271C04_66FD_11D3_88F4_0000834298E4_.wvu.PrintArea" localSheetId="2" hidden="1">#REF!</definedName>
    <definedName name="Z_AC271C04_66FD_11D3_88F4_0000834298E4_.wvu.PrintArea" hidden="1">#REF!</definedName>
    <definedName name="Z_AC271C04_66FD_11D3_88F4_0000834298E4_.wvu.PrintTitles" localSheetId="2" hidden="1">'[1]dept finance data'!#REF!</definedName>
    <definedName name="Z_AC271C04_66FD_11D3_88F4_0000834298E4_.wvu.PrintTitles" hidden="1">'[1]dept finance data'!#REF!</definedName>
    <definedName name="Z_AC271C04_66FD_11D3_88F4_0000834298E4_.wvu.Rows" localSheetId="2" hidden="1">'[1]dept finance data'!#REF!</definedName>
    <definedName name="Z_AC271C04_66FD_11D3_88F4_0000834298E4_.wvu.Rows" hidden="1">'[1]dept finance data'!#REF!</definedName>
    <definedName name="Z_AC271C06_66FD_11D3_88F4_0000834298E4_.wvu.Cols" localSheetId="2" hidden="1">#REF!</definedName>
    <definedName name="Z_AC271C06_66FD_11D3_88F4_0000834298E4_.wvu.Cols" hidden="1">#REF!</definedName>
    <definedName name="Z_AC271C06_66FD_11D3_88F4_0000834298E4_.wvu.PrintArea" localSheetId="2" hidden="1">#REF!</definedName>
    <definedName name="Z_AC271C06_66FD_11D3_88F4_0000834298E4_.wvu.PrintArea" hidden="1">#REF!</definedName>
    <definedName name="Z_AC271C06_66FD_11D3_88F4_0000834298E4_.wvu.PrintTitles" localSheetId="2" hidden="1">'[1]dept finance data'!#REF!</definedName>
    <definedName name="Z_AC271C06_66FD_11D3_88F4_0000834298E4_.wvu.PrintTitles" hidden="1">'[1]dept finance data'!#REF!</definedName>
    <definedName name="Z_AC271C06_66FD_11D3_88F4_0000834298E4_.wvu.Rows" localSheetId="2" hidden="1">'[1]dept finance data'!#REF!</definedName>
    <definedName name="Z_AC271C06_66FD_11D3_88F4_0000834298E4_.wvu.Rows" hidden="1">'[1]dept finance data'!#REF!</definedName>
    <definedName name="Z_AC271C08_66FD_11D3_88F4_0000834298E4_.wvu.Cols" localSheetId="2" hidden="1">#REF!</definedName>
    <definedName name="Z_AC271C08_66FD_11D3_88F4_0000834298E4_.wvu.Cols" hidden="1">#REF!</definedName>
    <definedName name="Z_AC271C08_66FD_11D3_88F4_0000834298E4_.wvu.PrintArea" localSheetId="2" hidden="1">#REF!</definedName>
    <definedName name="Z_AC271C08_66FD_11D3_88F4_0000834298E4_.wvu.PrintArea" hidden="1">#REF!</definedName>
    <definedName name="Z_AC271C08_66FD_11D3_88F4_0000834298E4_.wvu.PrintTitles" localSheetId="2" hidden="1">'[1]dept finance data'!#REF!</definedName>
    <definedName name="Z_AC271C08_66FD_11D3_88F4_0000834298E4_.wvu.PrintTitles" hidden="1">'[1]dept finance data'!#REF!</definedName>
    <definedName name="Z_AC271C08_66FD_11D3_88F4_0000834298E4_.wvu.Rows" localSheetId="2" hidden="1">'[1]dept finance data'!#REF!</definedName>
    <definedName name="Z_AC271C08_66FD_11D3_88F4_0000834298E4_.wvu.Rows" hidden="1">'[1]dept finance data'!#REF!</definedName>
    <definedName name="Z_B46E469D_A288_11D3_890C_0000834298E4_.wvu.PrintArea" localSheetId="2" hidden="1">#REF!</definedName>
    <definedName name="Z_B46E469D_A288_11D3_890C_0000834298E4_.wvu.PrintArea" hidden="1">#REF!</definedName>
    <definedName name="Z_B46E469D_A288_11D3_890C_0000834298E4_.wvu.PrintTitles" localSheetId="2" hidden="1">#REF!,#REF!</definedName>
    <definedName name="Z_B46E469D_A288_11D3_890C_0000834298E4_.wvu.PrintTitles" hidden="1">#REF!,#REF!</definedName>
    <definedName name="Z_B46E469E_A288_11D3_890C_0000834298E4_.wvu.PrintArea" localSheetId="2" hidden="1">#REF!</definedName>
    <definedName name="Z_B46E469E_A288_11D3_890C_0000834298E4_.wvu.PrintArea" hidden="1">#REF!</definedName>
    <definedName name="Z_B46E469E_A288_11D3_890C_0000834298E4_.wvu.PrintTitles" localSheetId="2" hidden="1">#REF!,#REF!</definedName>
    <definedName name="Z_B46E469E_A288_11D3_890C_0000834298E4_.wvu.PrintTitles" hidden="1">#REF!,#REF!</definedName>
    <definedName name="Z_B46E469F_A288_11D3_890C_0000834298E4_.wvu.PrintArea" localSheetId="2" hidden="1">#REF!</definedName>
    <definedName name="Z_B46E469F_A288_11D3_890C_0000834298E4_.wvu.PrintArea" hidden="1">#REF!</definedName>
    <definedName name="Z_B46E469F_A288_11D3_890C_0000834298E4_.wvu.PrintTitles" localSheetId="2" hidden="1">#REF!,#REF!</definedName>
    <definedName name="Z_B46E469F_A288_11D3_890C_0000834298E4_.wvu.PrintTitles" hidden="1">#REF!,#REF!</definedName>
    <definedName name="Z_B46E46A0_A288_11D3_890C_0000834298E4_.wvu.PrintArea" localSheetId="2" hidden="1">#REF!</definedName>
    <definedName name="Z_B46E46A0_A288_11D3_890C_0000834298E4_.wvu.PrintArea" hidden="1">#REF!</definedName>
    <definedName name="Z_B46E46A0_A288_11D3_890C_0000834298E4_.wvu.PrintTitles" localSheetId="2" hidden="1">#REF!,#REF!</definedName>
    <definedName name="Z_B46E46A0_A288_11D3_890C_0000834298E4_.wvu.PrintTitles" hidden="1">#REF!,#REF!</definedName>
    <definedName name="Z_B46E46A1_A288_11D3_890C_0000834298E4_.wvu.PrintArea" localSheetId="2" hidden="1">#REF!</definedName>
    <definedName name="Z_B46E46A1_A288_11D3_890C_0000834298E4_.wvu.PrintArea" hidden="1">#REF!</definedName>
    <definedName name="Z_B46E46A1_A288_11D3_890C_0000834298E4_.wvu.PrintTitles" localSheetId="2" hidden="1">#REF!,#REF!</definedName>
    <definedName name="Z_B46E46A1_A288_11D3_890C_0000834298E4_.wvu.PrintTitles" hidden="1">#REF!,#REF!</definedName>
    <definedName name="Z_B46E4950_A288_11D3_890C_0000834298E4_.wvu.PrintArea" localSheetId="2" hidden="1">#REF!</definedName>
    <definedName name="Z_B46E4950_A288_11D3_890C_0000834298E4_.wvu.PrintArea" hidden="1">#REF!</definedName>
    <definedName name="Z_B46E4950_A288_11D3_890C_0000834298E4_.wvu.PrintTitles" localSheetId="2" hidden="1">#REF!,#REF!</definedName>
    <definedName name="Z_B46E4950_A288_11D3_890C_0000834298E4_.wvu.PrintTitles" hidden="1">#REF!,#REF!</definedName>
    <definedName name="Z_B46E4951_A288_11D3_890C_0000834298E4_.wvu.PrintArea" localSheetId="2" hidden="1">#REF!</definedName>
    <definedName name="Z_B46E4951_A288_11D3_890C_0000834298E4_.wvu.PrintArea" hidden="1">#REF!</definedName>
    <definedName name="Z_B46E4951_A288_11D3_890C_0000834298E4_.wvu.PrintTitles" localSheetId="2" hidden="1">#REF!,#REF!</definedName>
    <definedName name="Z_B46E4951_A288_11D3_890C_0000834298E4_.wvu.PrintTitles" hidden="1">#REF!,#REF!</definedName>
    <definedName name="Z_B46E4952_A288_11D3_890C_0000834298E4_.wvu.PrintArea" localSheetId="2" hidden="1">#REF!</definedName>
    <definedName name="Z_B46E4952_A288_11D3_890C_0000834298E4_.wvu.PrintArea" hidden="1">#REF!</definedName>
    <definedName name="Z_B46E4952_A288_11D3_890C_0000834298E4_.wvu.PrintTitles" localSheetId="2" hidden="1">#REF!,#REF!</definedName>
    <definedName name="Z_B46E4952_A288_11D3_890C_0000834298E4_.wvu.PrintTitles" hidden="1">#REF!,#REF!</definedName>
    <definedName name="Z_B46E4953_A288_11D3_890C_0000834298E4_.wvu.PrintArea" localSheetId="2" hidden="1">#REF!</definedName>
    <definedName name="Z_B46E4953_A288_11D3_890C_0000834298E4_.wvu.PrintArea" hidden="1">#REF!</definedName>
    <definedName name="Z_B46E4953_A288_11D3_890C_0000834298E4_.wvu.PrintTitles" localSheetId="2" hidden="1">#REF!,#REF!</definedName>
    <definedName name="Z_B46E4953_A288_11D3_890C_0000834298E4_.wvu.PrintTitles" hidden="1">#REF!,#REF!</definedName>
    <definedName name="Z_B46E4954_A288_11D3_890C_0000834298E4_.wvu.PrintArea" localSheetId="2" hidden="1">#REF!</definedName>
    <definedName name="Z_B46E4954_A288_11D3_890C_0000834298E4_.wvu.PrintArea" hidden="1">#REF!</definedName>
    <definedName name="Z_B46E4954_A288_11D3_890C_0000834298E4_.wvu.PrintTitles" localSheetId="2" hidden="1">#REF!,#REF!</definedName>
    <definedName name="Z_B46E4954_A288_11D3_890C_0000834298E4_.wvu.PrintTitles" hidden="1">#REF!,#REF!</definedName>
    <definedName name="Z_B4964D6E_51D3_11D3_9C74_0020352B7F13_.wvu.PrintArea" localSheetId="2" hidden="1">#REF!</definedName>
    <definedName name="Z_B4964D6E_51D3_11D3_9C74_0020352B7F13_.wvu.PrintArea" hidden="1">#REF!</definedName>
    <definedName name="Z_B4964D6E_51D3_11D3_9C74_0020352B7F13_.wvu.PrintTitles" localSheetId="2" hidden="1">'[1]dept finance data'!#REF!</definedName>
    <definedName name="Z_B4964D6E_51D3_11D3_9C74_0020352B7F13_.wvu.PrintTitles" hidden="1">'[1]dept finance data'!#REF!</definedName>
    <definedName name="Z_B4964D6F_51D3_11D3_9C74_0020352B7F13_.wvu.PrintArea" localSheetId="2" hidden="1">#REF!</definedName>
    <definedName name="Z_B4964D6F_51D3_11D3_9C74_0020352B7F13_.wvu.PrintArea" hidden="1">#REF!</definedName>
    <definedName name="Z_B4964D6F_51D3_11D3_9C74_0020352B7F13_.wvu.PrintTitles" localSheetId="2" hidden="1">'[1]dept finance data'!#REF!</definedName>
    <definedName name="Z_B4964D6F_51D3_11D3_9C74_0020352B7F13_.wvu.PrintTitles" hidden="1">'[1]dept finance data'!#REF!</definedName>
    <definedName name="Z_B4964D70_51D3_11D3_9C74_0020352B7F13_.wvu.PrintArea" localSheetId="2" hidden="1">#REF!</definedName>
    <definedName name="Z_B4964D70_51D3_11D3_9C74_0020352B7F13_.wvu.PrintArea" hidden="1">#REF!</definedName>
    <definedName name="Z_B4964D70_51D3_11D3_9C74_0020352B7F13_.wvu.PrintTitles" localSheetId="2" hidden="1">'[1]dept finance data'!#REF!</definedName>
    <definedName name="Z_B4964D70_51D3_11D3_9C74_0020352B7F13_.wvu.PrintTitles" hidden="1">'[1]dept finance data'!#REF!</definedName>
    <definedName name="Z_F1A2AD24_5C94_11D3_88E8_0000834298E4_.wvu.Cols" localSheetId="2" hidden="1">#REF!</definedName>
    <definedName name="Z_F1A2AD24_5C94_11D3_88E8_0000834298E4_.wvu.Cols" hidden="1">#REF!</definedName>
    <definedName name="Z_F1A2AD24_5C94_11D3_88E8_0000834298E4_.wvu.PrintArea" localSheetId="2" hidden="1">#REF!</definedName>
    <definedName name="Z_F1A2AD24_5C94_11D3_88E8_0000834298E4_.wvu.PrintArea" hidden="1">#REF!</definedName>
    <definedName name="Z_F1A2AD24_5C94_11D3_88E8_0000834298E4_.wvu.PrintTitles" localSheetId="2" hidden="1">'[1]dept finance data'!#REF!</definedName>
    <definedName name="Z_F1A2AD24_5C94_11D3_88E8_0000834298E4_.wvu.PrintTitles" hidden="1">'[1]dept finance data'!#REF!</definedName>
    <definedName name="Z_F1A2AD26_5C94_11D3_88E8_0000834298E4_.wvu.Cols" localSheetId="2" hidden="1">#REF!</definedName>
    <definedName name="Z_F1A2AD26_5C94_11D3_88E8_0000834298E4_.wvu.Cols" hidden="1">#REF!</definedName>
    <definedName name="Z_F1A2AD26_5C94_11D3_88E8_0000834298E4_.wvu.PrintArea" localSheetId="2" hidden="1">#REF!</definedName>
    <definedName name="Z_F1A2AD26_5C94_11D3_88E8_0000834298E4_.wvu.PrintArea" hidden="1">#REF!</definedName>
    <definedName name="Z_F1A2AD26_5C94_11D3_88E8_0000834298E4_.wvu.PrintTitles" localSheetId="2" hidden="1">'[1]dept finance data'!#REF!</definedName>
    <definedName name="Z_F1A2AD26_5C94_11D3_88E8_0000834298E4_.wvu.PrintTitles" hidden="1">'[1]dept finance data'!#REF!</definedName>
    <definedName name="Z_F1A2AD28_5C94_11D3_88E8_0000834298E4_.wvu.Cols" localSheetId="2" hidden="1">#REF!</definedName>
    <definedName name="Z_F1A2AD28_5C94_11D3_88E8_0000834298E4_.wvu.Cols" hidden="1">#REF!</definedName>
    <definedName name="Z_F1A2AD28_5C94_11D3_88E8_0000834298E4_.wvu.PrintArea" localSheetId="2" hidden="1">#REF!</definedName>
    <definedName name="Z_F1A2AD28_5C94_11D3_88E8_0000834298E4_.wvu.PrintArea" hidden="1">#REF!</definedName>
    <definedName name="Z_F1A2AD28_5C94_11D3_88E8_0000834298E4_.wvu.PrintTitles" localSheetId="2" hidden="1">'[1]dept finance data'!#REF!</definedName>
    <definedName name="Z_F1A2AD28_5C94_11D3_88E8_0000834298E4_.wvu.PrintTitles" hidden="1">'[1]dept finance data'!#REF!</definedName>
    <definedName name="Z_F4B4FE18_7101_11D3_88FE_0000834298E4_.wvu.PrintArea" localSheetId="2" hidden="1">#REF!</definedName>
    <definedName name="Z_F4B4FE18_7101_11D3_88FE_0000834298E4_.wvu.PrintArea" hidden="1">#REF!</definedName>
    <definedName name="Z_F4B4FE18_7101_11D3_88FE_0000834298E4_.wvu.PrintTitles" localSheetId="2" hidden="1">#REF!,#REF!</definedName>
    <definedName name="Z_F4B4FE18_7101_11D3_88FE_0000834298E4_.wvu.PrintTitles" hidden="1">#REF!,#REF!</definedName>
    <definedName name="Z_F4B4FE19_7101_11D3_88FE_0000834298E4_.wvu.PrintArea" localSheetId="2" hidden="1">#REF!</definedName>
    <definedName name="Z_F4B4FE19_7101_11D3_88FE_0000834298E4_.wvu.PrintArea" hidden="1">#REF!</definedName>
    <definedName name="Z_F4B4FE19_7101_11D3_88FE_0000834298E4_.wvu.PrintTitles" localSheetId="2" hidden="1">#REF!,#REF!</definedName>
    <definedName name="Z_F4B4FE19_7101_11D3_88FE_0000834298E4_.wvu.PrintTitles" hidden="1">#REF!,#REF!</definedName>
    <definedName name="Z_F4B4FE1A_7101_11D3_88FE_0000834298E4_.wvu.PrintArea" localSheetId="2" hidden="1">#REF!</definedName>
    <definedName name="Z_F4B4FE1A_7101_11D3_88FE_0000834298E4_.wvu.PrintArea" hidden="1">#REF!</definedName>
    <definedName name="Z_F4B4FE1A_7101_11D3_88FE_0000834298E4_.wvu.PrintTitles" localSheetId="2" hidden="1">#REF!,#REF!</definedName>
    <definedName name="Z_F4B4FE1A_7101_11D3_88FE_0000834298E4_.wvu.PrintTitles" hidden="1">#REF!,#REF!</definedName>
    <definedName name="Z_F4B4FE1B_7101_11D3_88FE_0000834298E4_.wvu.PrintArea" localSheetId="2" hidden="1">#REF!</definedName>
    <definedName name="Z_F4B4FE1B_7101_11D3_88FE_0000834298E4_.wvu.PrintArea" hidden="1">#REF!</definedName>
    <definedName name="Z_F4B4FE1B_7101_11D3_88FE_0000834298E4_.wvu.PrintTitles" localSheetId="2" hidden="1">#REF!,#REF!</definedName>
    <definedName name="Z_F4B4FE1B_7101_11D3_88FE_0000834298E4_.wvu.PrintTitles" hidden="1">#REF!,#REF!</definedName>
    <definedName name="Z_F4B4FE1C_7101_11D3_88FE_0000834298E4_.wvu.PrintArea" localSheetId="2" hidden="1">#REF!</definedName>
    <definedName name="Z_F4B4FE1C_7101_11D3_88FE_0000834298E4_.wvu.PrintArea" hidden="1">#REF!</definedName>
    <definedName name="Z_F4B4FE1C_7101_11D3_88FE_0000834298E4_.wvu.PrintTitles" localSheetId="2" hidden="1">#REF!,#REF!</definedName>
    <definedName name="Z_F4B4FE1C_7101_11D3_88FE_0000834298E4_.wvu.PrintTitles" hidden="1">#REF!,#REF!</definedName>
    <definedName name="Z_F4B5003C_7101_11D3_88FE_0000834298E4_.wvu.PrintArea" localSheetId="2" hidden="1">#REF!</definedName>
    <definedName name="Z_F4B5003C_7101_11D3_88FE_0000834298E4_.wvu.PrintArea" hidden="1">#REF!</definedName>
    <definedName name="Z_F4B5003C_7101_11D3_88FE_0000834298E4_.wvu.PrintTitles" localSheetId="2" hidden="1">#REF!,#REF!</definedName>
    <definedName name="Z_F4B5003C_7101_11D3_88FE_0000834298E4_.wvu.PrintTitles" hidden="1">#REF!,#REF!</definedName>
    <definedName name="Z_F4B5003D_7101_11D3_88FE_0000834298E4_.wvu.PrintArea" localSheetId="2" hidden="1">#REF!</definedName>
    <definedName name="Z_F4B5003D_7101_11D3_88FE_0000834298E4_.wvu.PrintArea" hidden="1">#REF!</definedName>
    <definedName name="Z_F4B5003D_7101_11D3_88FE_0000834298E4_.wvu.PrintTitles" localSheetId="2" hidden="1">#REF!,#REF!</definedName>
    <definedName name="Z_F4B5003D_7101_11D3_88FE_0000834298E4_.wvu.PrintTitles" hidden="1">#REF!,#REF!</definedName>
    <definedName name="Z_F4B5003E_7101_11D3_88FE_0000834298E4_.wvu.PrintArea" localSheetId="2" hidden="1">#REF!</definedName>
    <definedName name="Z_F4B5003E_7101_11D3_88FE_0000834298E4_.wvu.PrintArea" hidden="1">#REF!</definedName>
    <definedName name="Z_F4B5003E_7101_11D3_88FE_0000834298E4_.wvu.PrintTitles" localSheetId="2" hidden="1">#REF!,#REF!</definedName>
    <definedName name="Z_F4B5003E_7101_11D3_88FE_0000834298E4_.wvu.PrintTitles" hidden="1">#REF!,#REF!</definedName>
    <definedName name="Z_F4B5003F_7101_11D3_88FE_0000834298E4_.wvu.PrintArea" localSheetId="2" hidden="1">#REF!</definedName>
    <definedName name="Z_F4B5003F_7101_11D3_88FE_0000834298E4_.wvu.PrintArea" hidden="1">#REF!</definedName>
    <definedName name="Z_F4B5003F_7101_11D3_88FE_0000834298E4_.wvu.PrintTitles" localSheetId="2" hidden="1">#REF!,#REF!</definedName>
    <definedName name="Z_F4B5003F_7101_11D3_88FE_0000834298E4_.wvu.PrintTitles" hidden="1">#REF!,#REF!</definedName>
    <definedName name="Z_F4B50040_7101_11D3_88FE_0000834298E4_.wvu.PrintArea" localSheetId="2" hidden="1">#REF!</definedName>
    <definedName name="Z_F4B50040_7101_11D3_88FE_0000834298E4_.wvu.PrintArea" hidden="1">#REF!</definedName>
    <definedName name="Z_F4B50040_7101_11D3_88FE_0000834298E4_.wvu.PrintTitles" localSheetId="2" hidden="1">#REF!,#REF!</definedName>
    <definedName name="Z_F4B50040_7101_11D3_88FE_0000834298E4_.wvu.PrintTitles" hidden="1">#REF!,#REF!</definedName>
    <definedName name="Z_F4B500EF_7101_11D3_88FE_0000834298E4_.wvu.PrintArea" localSheetId="2" hidden="1">#REF!</definedName>
    <definedName name="Z_F4B500EF_7101_11D3_88FE_0000834298E4_.wvu.PrintArea" hidden="1">#REF!</definedName>
    <definedName name="Z_F4B500EF_7101_11D3_88FE_0000834298E4_.wvu.PrintTitles" localSheetId="2" hidden="1">#REF!,#REF!</definedName>
    <definedName name="Z_F4B500EF_7101_11D3_88FE_0000834298E4_.wvu.PrintTitles" hidden="1">#REF!,#REF!</definedName>
    <definedName name="Z_F4B500F0_7101_11D3_88FE_0000834298E4_.wvu.PrintArea" localSheetId="2" hidden="1">#REF!</definedName>
    <definedName name="Z_F4B500F0_7101_11D3_88FE_0000834298E4_.wvu.PrintArea" hidden="1">#REF!</definedName>
    <definedName name="Z_F4B500F0_7101_11D3_88FE_0000834298E4_.wvu.PrintTitles" localSheetId="2" hidden="1">#REF!,#REF!</definedName>
    <definedName name="Z_F4B500F0_7101_11D3_88FE_0000834298E4_.wvu.PrintTitles" hidden="1">#REF!,#REF!</definedName>
    <definedName name="Z_F4B500F1_7101_11D3_88FE_0000834298E4_.wvu.PrintArea" localSheetId="2" hidden="1">#REF!</definedName>
    <definedName name="Z_F4B500F1_7101_11D3_88FE_0000834298E4_.wvu.PrintArea" hidden="1">#REF!</definedName>
    <definedName name="Z_F4B500F1_7101_11D3_88FE_0000834298E4_.wvu.PrintTitles" localSheetId="2" hidden="1">#REF!,#REF!</definedName>
    <definedName name="Z_F4B500F1_7101_11D3_88FE_0000834298E4_.wvu.PrintTitles" hidden="1">#REF!,#REF!</definedName>
    <definedName name="Z_F4B500F2_7101_11D3_88FE_0000834298E4_.wvu.PrintArea" localSheetId="2" hidden="1">#REF!</definedName>
    <definedName name="Z_F4B500F2_7101_11D3_88FE_0000834298E4_.wvu.PrintArea" hidden="1">#REF!</definedName>
    <definedName name="Z_F4B500F2_7101_11D3_88FE_0000834298E4_.wvu.PrintTitles" localSheetId="2" hidden="1">#REF!,#REF!</definedName>
    <definedName name="Z_F4B500F2_7101_11D3_88FE_0000834298E4_.wvu.PrintTitles" hidden="1">#REF!,#REF!</definedName>
    <definedName name="Z_F4B500F3_7101_11D3_88FE_0000834298E4_.wvu.PrintArea" localSheetId="2" hidden="1">#REF!</definedName>
    <definedName name="Z_F4B500F3_7101_11D3_88FE_0000834298E4_.wvu.PrintArea" hidden="1">#REF!</definedName>
    <definedName name="Z_F4B500F3_7101_11D3_88FE_0000834298E4_.wvu.PrintTitles" localSheetId="2" hidden="1">#REF!,#REF!</definedName>
    <definedName name="Z_F4B500F3_7101_11D3_88FE_0000834298E4_.wvu.PrintTitles" hidden="1">#REF!,#REF!</definedName>
    <definedName name="Z_FA5DF41B_71D7_11D3_88FF_0000834298E4_.wvu.PrintArea" localSheetId="2" hidden="1">#REF!</definedName>
    <definedName name="Z_FA5DF41B_71D7_11D3_88FF_0000834298E4_.wvu.PrintArea" hidden="1">#REF!</definedName>
    <definedName name="Z_FA5DF41B_71D7_11D3_88FF_0000834298E4_.wvu.PrintTitles" localSheetId="2" hidden="1">'[1]dept finance data'!#REF!</definedName>
    <definedName name="Z_FA5DF41B_71D7_11D3_88FF_0000834298E4_.wvu.PrintTitles" hidden="1">'[1]dept finance data'!#REF!</definedName>
    <definedName name="Z_FA5DF41B_71D7_11D3_88FF_0000834298E4_.wvu.Rows" localSheetId="2" hidden="1">'[1]dept finance data'!#REF!</definedName>
    <definedName name="Z_FA5DF41B_71D7_11D3_88FF_0000834298E4_.wvu.Rows" hidden="1">'[1]dept finance data'!#REF!</definedName>
    <definedName name="Z_FA5DF41D_71D7_11D3_88FF_0000834298E4_.wvu.PrintArea" localSheetId="2" hidden="1">#REF!</definedName>
    <definedName name="Z_FA5DF41D_71D7_11D3_88FF_0000834298E4_.wvu.PrintArea" hidden="1">#REF!</definedName>
    <definedName name="Z_FA5DF41D_71D7_11D3_88FF_0000834298E4_.wvu.PrintTitles" localSheetId="2" hidden="1">'[1]dept finance data'!#REF!</definedName>
    <definedName name="Z_FA5DF41D_71D7_11D3_88FF_0000834298E4_.wvu.PrintTitles" hidden="1">'[1]dept finance data'!#REF!</definedName>
    <definedName name="Z_FA5DF41D_71D7_11D3_88FF_0000834298E4_.wvu.Rows" localSheetId="2" hidden="1">'[1]dept finance data'!#REF!</definedName>
    <definedName name="Z_FA5DF41D_71D7_11D3_88FF_0000834298E4_.wvu.Rows" hidden="1">'[1]dept finance data'!#REF!</definedName>
    <definedName name="Z_FA5DF41F_71D7_11D3_88FF_0000834298E4_.wvu.PrintArea" localSheetId="2" hidden="1">#REF!</definedName>
    <definedName name="Z_FA5DF41F_71D7_11D3_88FF_0000834298E4_.wvu.PrintArea" hidden="1">#REF!</definedName>
    <definedName name="Z_FA5DF41F_71D7_11D3_88FF_0000834298E4_.wvu.PrintTitles" localSheetId="2" hidden="1">'[1]dept finance data'!#REF!</definedName>
    <definedName name="Z_FA5DF41F_71D7_11D3_88FF_0000834298E4_.wvu.PrintTitles" hidden="1">'[1]dept finance data'!#REF!</definedName>
    <definedName name="Z_FA5DF41F_71D7_11D3_88FF_0000834298E4_.wvu.Rows" localSheetId="2" hidden="1">'[1]dept finance data'!#REF!</definedName>
    <definedName name="Z_FA5DF41F_71D7_11D3_88FF_0000834298E4_.wvu.Rows" hidden="1">'[1]dept finance data'!#REF!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33" l="1"/>
  <c r="I23" i="33"/>
  <c r="I22" i="33"/>
  <c r="F25" i="33" a="1"/>
  <c r="F25" i="33"/>
  <c r="H25" i="33"/>
  <c r="I25" i="33"/>
  <c r="F26" i="33" a="1"/>
  <c r="F26" i="33"/>
  <c r="H26" i="33"/>
  <c r="I26" i="33"/>
  <c r="F27" i="33" a="1"/>
  <c r="F27" i="33"/>
  <c r="H27" i="33"/>
  <c r="I27" i="33"/>
  <c r="F28" i="33" a="1"/>
  <c r="F28" i="33"/>
  <c r="H28" i="33"/>
  <c r="I28" i="33"/>
  <c r="F29" i="33" a="1"/>
  <c r="F29" i="33"/>
  <c r="H29" i="33"/>
  <c r="I29" i="33"/>
  <c r="F30" i="33" a="1"/>
  <c r="F30" i="33"/>
  <c r="H30" i="33"/>
  <c r="I30" i="33"/>
  <c r="F31" i="33" a="1"/>
  <c r="F31" i="33"/>
  <c r="H31" i="33"/>
  <c r="I31" i="33"/>
  <c r="F32" i="33" a="1"/>
  <c r="F32" i="33"/>
  <c r="H32" i="33"/>
  <c r="I32" i="33"/>
  <c r="F33" i="33" a="1"/>
  <c r="F33" i="33"/>
  <c r="H33" i="33"/>
  <c r="I33" i="33"/>
  <c r="F34" i="33" a="1"/>
  <c r="F34" i="33"/>
  <c r="H34" i="33"/>
  <c r="I34" i="33"/>
  <c r="F35" i="33" a="1"/>
  <c r="F35" i="33"/>
  <c r="H35" i="33"/>
  <c r="I35" i="33"/>
  <c r="F36" i="33" a="1"/>
  <c r="F36" i="33"/>
  <c r="H36" i="33"/>
  <c r="I36" i="33"/>
  <c r="F37" i="33" a="1"/>
  <c r="F37" i="33"/>
  <c r="H37" i="33"/>
  <c r="I37" i="33"/>
  <c r="F38" i="33" a="1"/>
  <c r="F38" i="33"/>
  <c r="H38" i="33"/>
  <c r="I38" i="33"/>
  <c r="F39" i="33" a="1"/>
  <c r="F39" i="33"/>
  <c r="H39" i="33"/>
  <c r="I39" i="33"/>
  <c r="F40" i="33" a="1"/>
  <c r="F40" i="33"/>
  <c r="H40" i="33"/>
  <c r="I40" i="33"/>
  <c r="A1" i="37" a="1"/>
  <c r="A1" i="37" s="1"/>
  <c r="A1" i="79" a="1"/>
  <c r="A1" i="79" s="1"/>
  <c r="A21" i="8" a="1"/>
  <c r="A21" i="8" s="1"/>
  <c r="A21" i="33" a="1"/>
  <c r="A2" i="58" a="1"/>
  <c r="A2" i="58" s="1"/>
  <c r="F24" i="33" l="1" a="1"/>
  <c r="F24" i="33" s="1"/>
  <c r="H24" i="33"/>
  <c r="H23" i="33"/>
  <c r="F23" i="33" a="1"/>
  <c r="F23" i="33" s="1"/>
  <c r="H22" i="33"/>
  <c r="F22" i="33" a="1"/>
  <c r="F22" i="33" s="1"/>
  <c r="A21" i="33"/>
  <c r="F21" i="33" s="1" a="1"/>
  <c r="F21" i="33" s="1"/>
  <c r="I21" i="33"/>
  <c r="H21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8F6A5A-5249-4DEC-B8C0-EED06D256A03}" keepAlive="1" name="Query - Exhibit13" description="Connection to the 'Exhibit13' query in the workbook." type="5" refreshedVersion="8" saveData="1">
    <dbPr connection="Provider=Microsoft.Mashup.OleDb.1;Data Source=$Workbook$;Location=Exhibit13;Extended Properties=&quot;&quot;" command="SELECT * FROM [Exhibit13]"/>
  </connection>
  <connection id="2" xr16:uid="{D068578D-5895-412B-A469-2D624AA0E1D7}" keepAlive="1" name="Query - Exhibit2" description="Connection to the 'Exhibit2' query in the workbook." type="5" refreshedVersion="8" saveData="1">
    <dbPr connection="Provider=Microsoft.Mashup.OleDb.1;Data Source=$Workbook$;Location=Exhibit2;Extended Properties=&quot;&quot;" command="SELECT * FROM [Exhibit2]"/>
  </connection>
  <connection id="3" xr16:uid="{EA8687F3-1EB7-45EC-9A36-9C60ACB7628C}" keepAlive="1" name="Query - Exhibit7" description="Connection to the 'Exhibit7' query in the workbook." type="5" refreshedVersion="8" saveData="1">
    <dbPr connection="Provider=Microsoft.Mashup.OleDb.1;Data Source=$Workbook$;Location=Exhibit7;Extended Properties=&quot;&quot;" command="SELECT * FROM [Exhibit7]"/>
  </connection>
  <connection id="4" xr16:uid="{87DFC77C-DB16-4177-9297-FDE1AED68C4F}" keepAlive="1" name="Query - Exhibit9" description="Connection to the 'Exhibit9' query in the workbook." type="5" refreshedVersion="8" saveData="1">
    <dbPr connection="Provider=Microsoft.Mashup.OleDb.1;Data Source=$Workbook$;Location=Exhibit9;Extended Properties=&quot;&quot;" command="SELECT * FROM [Exhibit9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<sst xmlns="http://schemas.openxmlformats.org/spreadsheetml/2006/main" count="57" uniqueCount="40">
  <si>
    <t>description</t>
  </si>
  <si>
    <t>Entry-Level Hourly Earnings</t>
  </si>
  <si>
    <t>Median Hourly Earnings</t>
  </si>
  <si>
    <t>Experienced Hourly Earnings</t>
  </si>
  <si>
    <t>Y</t>
  </si>
  <si>
    <t>High School Diploma or Less</t>
  </si>
  <si>
    <t>Some College or Associate Degree</t>
  </si>
  <si>
    <t>Bachelor's Degree</t>
  </si>
  <si>
    <t>Graduate or Professional Degree</t>
  </si>
  <si>
    <t>Change from 2018-2028</t>
  </si>
  <si>
    <t>Description</t>
  </si>
  <si>
    <t>Column1</t>
  </si>
  <si>
    <t>field</t>
  </si>
  <si>
    <t>California</t>
  </si>
  <si>
    <t>CVML Living Wage for One Adult ($16.48)</t>
  </si>
  <si>
    <t>CVML Living Wage for One Adult and One Child ($33.49)</t>
  </si>
  <si>
    <t>region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</si>
  <si>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</si>
  <si>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</si>
  <si>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</si>
  <si>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</si>
  <si>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</si>
  <si>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</si>
  <si>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</si>
  <si>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</si>
  <si>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</si>
  <si>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</si>
  <si>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</si>
  <si>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CVML</t>
  </si>
  <si>
    <t>Respiratory Therapists</t>
  </si>
  <si>
    <t>2030</t>
  </si>
  <si>
    <t>2031</t>
  </si>
  <si>
    <t>2032</t>
  </si>
  <si>
    <t>2033</t>
  </si>
  <si>
    <t>2034</t>
  </si>
  <si>
    <t>2014</t>
  </si>
  <si>
    <t>2015</t>
  </si>
  <si>
    <t>2016</t>
  </si>
  <si>
    <t>2017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</si>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</sst>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2"/>
      <color rgb="FF000000"/>
      <name val="Tw Cen MT"/>
    </font>
    <font>
      <sz val="11"/>
      <color rgb="FFFF0000"/>
      <name val="Calibri"/>
      <family val="2"/>
      <scheme val="minor"/>
    </font>
    <font>
      <sz val="12"/>
      <color rgb="FF000000"/>
      <name val="Tw Cen MT"/>
      <family val="2"/>
    </font>
    <font>
      <sz val="12"/>
      <color rgb="FF000000"/>
      <name val="Tw Cen MT"/>
      <family val="2"/>
    </font>
    <font>
      <sz val="8"/>
      <name val="Tw Cen MT"/>
      <family val="2"/>
    </font>
    <font>
      <sz val="12"/>
      <color rgb="FF000000"/>
      <name val="Segoe UI"/>
      <family val="2"/>
    </font>
    <font>
      <sz val="11"/>
      <name val="Segoe UI"/>
      <family val="2"/>
    </font>
    <font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164" fontId="0" fillId="0" borderId="0" xfId="2" applyNumberFormat="1" applyFont="1"/>
    <xf numFmtId="9" fontId="0" fillId="0" borderId="0" xfId="0" applyNumberFormat="1"/>
    <xf numFmtId="44" fontId="0" fillId="0" borderId="0" xfId="0" applyNumberFormat="1"/>
    <xf numFmtId="1" fontId="0" fillId="0" borderId="0" xfId="2" applyNumberFormat="1" applyFont="1"/>
    <xf numFmtId="3" fontId="0" fillId="0" borderId="0" xfId="0" applyNumberFormat="1"/>
    <xf numFmtId="3" fontId="0" fillId="0" borderId="0" xfId="2" applyNumberFormat="1" applyFont="1"/>
    <xf numFmtId="3" fontId="1" fillId="0" borderId="0" xfId="0" applyNumberFormat="1" applyFont="1"/>
    <xf numFmtId="0" fontId="5" fillId="0" borderId="0" xfId="0" applyFont="1"/>
    <xf numFmtId="3" fontId="5" fillId="0" borderId="0" xfId="0" applyNumberFormat="1" applyFont="1"/>
    <xf numFmtId="9" fontId="5" fillId="0" borderId="0" xfId="1" applyFont="1"/>
    <xf numFmtId="3" fontId="5" fillId="0" borderId="0" xfId="2" applyNumberFormat="1" applyFont="1"/>
    <xf numFmtId="3" fontId="6" fillId="0" borderId="0" xfId="2" applyNumberFormat="1" applyFont="1"/>
    <xf numFmtId="9" fontId="5" fillId="0" borderId="0" xfId="0" applyNumberFormat="1" applyFont="1"/>
    <xf numFmtId="0" fontId="7" fillId="2" borderId="2" xfId="0" applyFont="1" applyFill="1" applyBorder="1"/>
    <xf numFmtId="44" fontId="5" fillId="0" borderId="0" xfId="0" applyNumberFormat="1" applyFont="1"/>
    <xf numFmtId="0" fontId="7" fillId="0" borderId="0" xfId="0" applyFont="1"/>
    <xf numFmtId="44" fontId="7" fillId="0" borderId="0" xfId="0" applyNumberFormat="1" applyFont="1"/>
    <xf numFmtId="44" fontId="7" fillId="0" borderId="0" xfId="0" applyNumberFormat="1" applyFont="1" applyAlignment="1">
      <alignment horizontal="center"/>
    </xf>
    <xf numFmtId="44" fontId="7" fillId="2" borderId="1" xfId="0" applyNumberFormat="1" applyFont="1" applyFill="1" applyBorder="1"/>
    <xf numFmtId="44" fontId="7" fillId="0" borderId="1" xfId="0" applyNumberFormat="1" applyFont="1" applyBorder="1"/>
    <xf numFmtId="9" fontId="0" fillId="0" borderId="0" xfId="1" applyFont="1"/>
    <xf numFmtId="9" fontId="0" fillId="3" borderId="0" xfId="0" applyNumberFormat="1" applyFill="1"/>
    <xf numFmtId="0" fontId="0" fillId="3" borderId="0" xfId="0" applyFill="1"/>
    <xf numFmtId="44" fontId="0" fillId="3" borderId="0" xfId="0" applyNumberFormat="1" applyFill="1"/>
  </cellXfs>
  <cellStyles count="3">
    <cellStyle name="Comma" xfId="2" builtinId="3"/>
    <cellStyle name="Normal" xfId="0" builtinId="0"/>
    <cellStyle name="Percent" xfId="1" builtinId="5"/>
  </cellStyles>
  <dxfs count="27"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b/>
        <i val="0"/>
        <color rgb="FF455F51"/>
      </font>
      <fill>
        <patternFill>
          <bgColor rgb="FFD9E288"/>
        </patternFill>
      </fill>
      <border diagonalUp="0" diagonalDown="0">
        <left/>
        <right/>
        <top style="thin">
          <color theme="0" tint="-0.24994659260841701"/>
        </top>
        <bottom/>
        <vertical/>
        <horizontal/>
      </border>
    </dxf>
    <dxf>
      <font>
        <b/>
        <i val="0"/>
      </font>
      <fill>
        <patternFill patternType="solid">
          <bgColor rgb="FFD9E288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/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C2EA457F-3ADC-4994-8BEF-FCE733D49A77}">
      <tableStyleElement type="wholeTable" dxfId="26"/>
      <tableStyleElement type="headerRow" dxfId="25"/>
      <tableStyleElement type="totalRow" dxfId="24"/>
    </tableStyle>
  </tableStyles>
  <colors>
    <mruColors>
      <color rgb="FF008985"/>
      <color rgb="FFBED62F"/>
      <color rgb="FFC55A11"/>
      <color rgb="FF81C464"/>
      <color rgb="FF2EAA7C"/>
      <color rgb="FFBDD52E"/>
      <color rgb="FF8AB833"/>
      <color rgb="FF126877"/>
      <color rgb="FF0E4660"/>
      <color rgb="FFD9E2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'Exhibit 2 - Ed. Attainment'!$B$20</c:f>
              <c:strCache>
                <c:ptCount val="1"/>
                <c:pt idx="0">
                  <c:v>High School Diploma or Less</c:v>
                </c:pt>
              </c:strCache>
            </c:strRef>
          </c:tx>
          <c:spPr>
            <a:solidFill>
              <a:srgbClr val="BDD52E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Attainment'!$B$21:$B$40</c:f>
              <c:numCache>
                <c:formatCode>0%</c:formatCode>
                <c:ptCount val="20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2-694C-8D91-8A01ECD5E79B}"/>
            </c:ext>
          </c:extLst>
        </c:ser>
        <c:ser>
          <c:idx val="1"/>
          <c:order val="1"/>
          <c:tx>
            <c:strRef>
              <c:f>'Exhibit 2 - Ed. Attainment'!$C$20</c:f>
              <c:strCache>
                <c:ptCount val="1"/>
                <c:pt idx="0">
                  <c:v>Some College or Associate Degree</c:v>
                </c:pt>
              </c:strCache>
            </c:strRef>
          </c:tx>
          <c:spPr>
            <a:solidFill>
              <a:srgbClr val="81C464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Attainment'!$C$21:$C$40</c:f>
              <c:numCache>
                <c:formatCode>0%</c:formatCode>
                <c:ptCount val="20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2-694C-8D91-8A01ECD5E79B}"/>
            </c:ext>
          </c:extLst>
        </c:ser>
        <c:ser>
          <c:idx val="2"/>
          <c:order val="2"/>
          <c:tx>
            <c:strRef>
              <c:f>'Exhibit 2 - Ed. Attainment'!$D$20</c:f>
              <c:strCache>
                <c:ptCount val="1"/>
                <c:pt idx="0">
                  <c:v>Bachelor's Degree</c:v>
                </c:pt>
              </c:strCache>
            </c:strRef>
          </c:tx>
          <c:spPr>
            <a:solidFill>
              <a:srgbClr val="2EAA7C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Attainment'!$D$21:$D$40</c:f>
              <c:numCache>
                <c:formatCode>0%</c:formatCode>
                <c:ptCount val="20"/>
                <c:pt idx="0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E2-694C-8D91-8A01ECD5E79B}"/>
            </c:ext>
          </c:extLst>
        </c:ser>
        <c:ser>
          <c:idx val="3"/>
          <c:order val="3"/>
          <c:tx>
            <c:strRef>
              <c:f>'Exhibit 2 - Ed. Attainment'!$E$20</c:f>
              <c:strCache>
                <c:ptCount val="1"/>
                <c:pt idx="0">
                  <c:v>Graduate or Professional Degree</c:v>
                </c:pt>
              </c:strCache>
            </c:strRef>
          </c:tx>
          <c:spPr>
            <a:solidFill>
              <a:srgbClr val="008985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Attainment'!$E$21:$E$40</c:f>
              <c:numCache>
                <c:formatCode>0%</c:formatCode>
                <c:ptCount val="20"/>
                <c:pt idx="0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E2-694C-8D91-8A01ECD5E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0655224"/>
        <c:axId val="560651944"/>
      </c:barChart>
      <c:catAx>
        <c:axId val="5606552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51944"/>
        <c:crosses val="autoZero"/>
        <c:auto val="1"/>
        <c:lblAlgn val="ctr"/>
        <c:lblOffset val="100"/>
        <c:noMultiLvlLbl val="0"/>
      </c:catAx>
      <c:valAx>
        <c:axId val="560651944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5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6461999225192746E-2"/>
          <c:y val="6.0983892353247804E-2"/>
          <c:w val="0.8456107414745424"/>
          <c:h val="0.72709870414711852"/>
        </c:manualLayout>
      </c:layout>
      <c:lineChart>
        <c:grouping val="standard"/>
        <c:varyColors val="0"/>
        <c:ser>
          <c:idx val="1"/>
          <c:order val="0"/>
          <c:tx>
            <c:strRef>
              <c:f>'Exhibit 7 - Job Count'!$A$2</c:f>
              <c:strCache>
                <c:ptCount val="1"/>
                <c:pt idx="0">
                  <c:v>California</c:v>
                </c:pt>
              </c:strCache>
            </c:strRef>
          </c:tx>
          <c:spPr>
            <a:ln w="25400" cap="rnd">
              <a:solidFill>
                <a:srgbClr val="008985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008985"/>
              </a:solidFill>
              <a:ln w="9525">
                <a:solidFill>
                  <a:srgbClr val="00898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7 - Job Count'!$C$1:$M$1</c:f>
              <c:strCach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strCache>
            </c:strRef>
          </c:cat>
          <c:val>
            <c:numRef>
              <c:f>'Exhibit 7 - Job Count'!$B$2:$L$2</c:f>
              <c:numCache>
                <c:formatCode>#,##0</c:formatCode>
                <c:ptCount val="11"/>
                <c:pt idx="0">
                  <c:v>18384</c:v>
                </c:pt>
                <c:pt idx="1">
                  <c:v>18814</c:v>
                </c:pt>
                <c:pt idx="2">
                  <c:v>19182</c:v>
                </c:pt>
                <c:pt idx="3">
                  <c:v>19507</c:v>
                </c:pt>
                <c:pt idx="4">
                  <c:v>19800</c:v>
                </c:pt>
                <c:pt idx="5">
                  <c:v>20012</c:v>
                </c:pt>
                <c:pt idx="6">
                  <c:v>20265</c:v>
                </c:pt>
                <c:pt idx="7">
                  <c:v>20498</c:v>
                </c:pt>
                <c:pt idx="8">
                  <c:v>20710</c:v>
                </c:pt>
                <c:pt idx="9">
                  <c:v>20908</c:v>
                </c:pt>
                <c:pt idx="10">
                  <c:v>21087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440A-8862-E8876C370AB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0154136"/>
        <c:axId val="610149872"/>
      </c:lineChart>
      <c:catAx>
        <c:axId val="61015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49872"/>
        <c:crosses val="autoZero"/>
        <c:auto val="1"/>
        <c:lblAlgn val="ctr"/>
        <c:lblOffset val="100"/>
        <c:noMultiLvlLbl val="0"/>
      </c:catAx>
      <c:valAx>
        <c:axId val="61014987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5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5302856035989615E-2"/>
          <c:y val="5.5391614623608185E-2"/>
          <c:w val="0.8456107414745424"/>
          <c:h val="0.72709870414711852"/>
        </c:manualLayout>
      </c:layout>
      <c:lineChart>
        <c:grouping val="standard"/>
        <c:varyColors val="0"/>
        <c:ser>
          <c:idx val="1"/>
          <c:order val="0"/>
          <c:tx>
            <c:strRef>
              <c:f>'Exhibit 9 - Percentage Change'!$A$2</c:f>
              <c:strCache>
                <c:ptCount val="1"/>
                <c:pt idx="0">
                  <c:v>CVML</c:v>
                </c:pt>
              </c:strCache>
            </c:strRef>
          </c:tx>
          <c:spPr>
            <a:ln w="28575" cap="rnd">
              <a:solidFill>
                <a:srgbClr val="BED62F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BED62F"/>
              </a:solidFill>
              <a:ln w="9525">
                <a:solidFill>
                  <a:srgbClr val="BED62F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7120599-F548-4260-B5A2-A428DB81F0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4D-48AA-9BD9-1E6F7703A8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96E790-F4EE-4504-AFE3-8DED3A6EB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4D-48AA-9BD9-1E6F7703A8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0E2275-96C0-4707-AC40-19785B500E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4D-48AA-9BD9-1E6F7703A8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FD3136-AA79-4D86-A6AD-4159F44B71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4D-48AA-9BD9-1E6F7703A8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780DA5-3019-4D32-B28B-62942CC323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4D-48AA-9BD9-1E6F7703A8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7DD36B-A24B-4CD3-8551-21E56D1633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75-4D64-8474-2E6AFE3CF3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2391DD-91D7-47E3-BB8C-EDA9462754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4D-48AA-9BD9-1E6F7703A8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A7146C-9770-4B30-ADD6-75CBDC7786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4D-48AA-9BD9-1E6F7703A8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F1E741-F3BC-4E63-ACB4-D316D15733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4D-48AA-9BD9-1E6F7703A8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8C2578-493C-4710-BB06-77C5D6EA92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4D-48AA-9BD9-1E6F7703A8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70190A-DD77-4330-BCDC-8F16269F69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4D-48AA-9BD9-1E6F7703A8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9 - Percentage Change'!$B$1:$L$1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</c:strCache>
            </c:strRef>
          </c:cat>
          <c:val>
            <c:numRef>
              <c:f>'Exhibit 9 - Percentage Change'!$B$2:$L$2</c:f>
              <c:numCache>
                <c:formatCode>0%</c:formatCode>
                <c:ptCount val="11"/>
                <c:pt idx="0">
                  <c:v>0.01</c:v>
                </c:pt>
                <c:pt idx="1">
                  <c:v>0.04</c:v>
                </c:pt>
                <c:pt idx="2">
                  <c:v>0.06</c:v>
                </c:pt>
                <c:pt idx="3">
                  <c:v>0.02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0.05</c:v>
                </c:pt>
                <c:pt idx="8">
                  <c:v>0.04</c:v>
                </c:pt>
                <c:pt idx="9">
                  <c:v>0.05</c:v>
                </c:pt>
                <c:pt idx="10">
                  <c:v>0.11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'Exhibit 9 - Percentage Change'!$B$2:$L$2</c15:f>
                <c15:dlblRangeCache>
                  <c:ptCount val="11"/>
                  <c:pt idx="0">
                    <c:v>1%</c:v>
                  </c:pt>
                  <c:pt idx="1">
                    <c:v>4%</c:v>
                  </c:pt>
                  <c:pt idx="2">
                    <c:v>6%</c:v>
                  </c:pt>
                  <c:pt idx="3">
                    <c:v>2%</c:v>
                  </c:pt>
                  <c:pt idx="4">
                    <c:v>2%</c:v>
                  </c:pt>
                  <c:pt idx="5">
                    <c:v>5%</c:v>
                  </c:pt>
                  <c:pt idx="6">
                    <c:v>3%</c:v>
                  </c:pt>
                  <c:pt idx="7">
                    <c:v>5%</c:v>
                  </c:pt>
                  <c:pt idx="8">
                    <c:v>4%</c:v>
                  </c:pt>
                  <c:pt idx="9">
                    <c:v>5%</c:v>
                  </c:pt>
                  <c:pt idx="10">
                    <c:v>11%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AECE-46E6-BCDE-5765DB238875}"/>
            </c:ext>
          </c:extLst>
        </c:ser>
        <c:ser>
          <c:idx val="0"/>
          <c:order val="1"/>
          <c:tx>
            <c:strRef>
              <c:f>'Exhibit 9 - Percentage Change'!$A$3</c:f>
              <c:strCache>
                <c:ptCount val="1"/>
                <c:pt idx="0">
                  <c:v>California</c:v>
                </c:pt>
              </c:strCache>
            </c:strRef>
          </c:tx>
          <c:spPr>
            <a:ln w="28575" cap="rnd">
              <a:solidFill>
                <a:srgbClr val="00898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985"/>
              </a:solidFill>
              <a:ln w="9525">
                <a:solidFill>
                  <a:srgbClr val="008985"/>
                </a:solidFill>
              </a:ln>
              <a:effectLst/>
            </c:spPr>
          </c:marker>
          <c:dLbls>
            <c:delete val="1"/>
          </c:dLbls>
          <c:cat>
            <c:strRef>
              <c:f>'Exhibit 9 - Percentage Change'!$B$1:$L$1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</c:strCache>
            </c:strRef>
          </c:cat>
          <c:val>
            <c:numRef>
              <c:f>'Exhibit 9 - Percentage Change'!$B$3:$L$3</c:f>
              <c:numCache>
                <c:formatCode>0%</c:formatCode>
                <c:ptCount val="11"/>
                <c:pt idx="0">
                  <c:v>0</c:v>
                </c:pt>
                <c:pt idx="1">
                  <c:v>0.03</c:v>
                </c:pt>
                <c:pt idx="2">
                  <c:v>7.0000000000000007E-2</c:v>
                </c:pt>
                <c:pt idx="3">
                  <c:v>0.01</c:v>
                </c:pt>
                <c:pt idx="4">
                  <c:v>0.01</c:v>
                </c:pt>
                <c:pt idx="5">
                  <c:v>0.03</c:v>
                </c:pt>
                <c:pt idx="6">
                  <c:v>-0.03</c:v>
                </c:pt>
                <c:pt idx="7">
                  <c:v>0.04</c:v>
                </c:pt>
                <c:pt idx="8">
                  <c:v>0</c:v>
                </c:pt>
                <c:pt idx="9">
                  <c:v>0.01</c:v>
                </c:pt>
                <c:pt idx="10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6D-4F32-A9E8-E23FE276A4A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0154136"/>
        <c:axId val="610149872"/>
      </c:lineChart>
      <c:catAx>
        <c:axId val="61015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49872"/>
        <c:crosses val="autoZero"/>
        <c:auto val="1"/>
        <c:lblAlgn val="ctr"/>
        <c:lblOffset val="100"/>
        <c:noMultiLvlLbl val="0"/>
      </c:catAx>
      <c:valAx>
        <c:axId val="61014987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5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'Exhibit 13 - CVML WageChart'!$G$20</c:f>
              <c:strCache>
                <c:ptCount val="1"/>
                <c:pt idx="0">
                  <c:v> Entry-Level Hourly Earnings </c:v>
                </c:pt>
              </c:strCache>
            </c:strRef>
          </c:tx>
          <c:spPr>
            <a:solidFill>
              <a:srgbClr val="81C464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1B720EE-4C05-4D67-96B2-D59E356CA0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25-4938-A53C-1AEBEF51C4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EF9251-1095-4684-BF43-7B2EF7E6A0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088-4F75-AD76-0D6BCDD0C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4F818D-C161-4807-98EC-1768A75515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88-4F75-AD76-0D6BCDD0C3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69F58A-9F83-4F27-B6C8-F87CB9768A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88-4F75-AD76-0D6BCDD0C3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6AAD30-6C95-4F94-B7B9-9FC654A825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88-4F75-AD76-0D6BCDD0C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D06260-1D73-4D6C-A55D-53A652A41F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88-4F75-AD76-0D6BCDD0C3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2716CD-1D41-4ED5-850E-14E0586823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88-4F75-AD76-0D6BCDD0C3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1215F7-D1F6-4903-A96E-0943FA74DD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88-4F75-AD76-0D6BCDD0C3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B8BC6D-9E5A-43EF-BC0B-9B04371CDA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88-4F75-AD76-0D6BCDD0C3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4B1883-143F-438F-BC72-5EE4C7745A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88-4F75-AD76-0D6BCDD0C3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70242A-5F5A-497C-8D44-B60A3581F4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88-4F75-AD76-0D6BCDD0C3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1E81D5-2E0D-46AC-95C6-893A0A46D9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88-4F75-AD76-0D6BCDD0C3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B305798-3DDF-4C7C-812C-ED3F938DF0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88-4F75-AD76-0D6BCDD0C3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59A915-04F6-49EE-9546-8001EB39F6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88-4F75-AD76-0D6BCDD0C3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FF14D3-B5EA-4BCE-A2DD-F3C640B6D4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88-4F75-AD76-0D6BCDD0C3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7D3F82-EEC8-4F79-A757-CDCBB9E8AE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88-4F75-AD76-0D6BCDD0C3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946BD7-F53A-482E-AC40-8042649EE2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88-4F75-AD76-0D6BCDD0C3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EFC7671-6222-4D0B-BA96-FD69ACE46B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88-4F75-AD76-0D6BCDD0C3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A49264-AB37-4165-A93F-E6633225EB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88-4F75-AD76-0D6BCDD0C3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801B8C-B313-44D4-9F0F-D43DBF6241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88-4F75-AD76-0D6BCDD0C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WageChart'!$G$21:$G$40</c:f>
              <c:numCache>
                <c:formatCode>_("$"* #,##0.00_);_("$"* \(#,##0.00\);_("$"* "-"??_);_(@_)</c:formatCode>
                <c:ptCount val="20"/>
                <c:pt idx="0">
                  <c:v>38.880000000000003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WageChart'!$B$21:$B$40</c15:f>
                <c15:dlblRangeCache>
                  <c:ptCount val="20"/>
                  <c:pt idx="0">
                    <c:v> $38.88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E2C-441B-B4B0-803C320D5ED4}"/>
            </c:ext>
          </c:extLst>
        </c:ser>
        <c:ser>
          <c:idx val="1"/>
          <c:order val="1"/>
          <c:tx>
            <c:strRef>
              <c:f>'Exhibit 13 - CVML WageChart'!$H$20</c:f>
              <c:strCache>
                <c:ptCount val="1"/>
                <c:pt idx="0">
                  <c:v> Median Hourly Earnings </c:v>
                </c:pt>
              </c:strCache>
            </c:strRef>
          </c:tx>
          <c:spPr>
            <a:solidFill>
              <a:srgbClr val="2EAA7C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E864F9D-AAA1-4769-BD71-0741FB80AE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4D-41FF-A88D-6E8B74B3B5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706553-5DF9-4B56-B8D2-D07ED729B7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88-4F75-AD76-0D6BCDD0C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9CB5FD-A371-4917-A4CA-E732BDD01F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88-4F75-AD76-0D6BCDD0C3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7ADBC0-1995-4494-AFFA-02BA701645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88-4F75-AD76-0D6BCDD0C3B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07-4BCD-9E28-CBAF3B3849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007535-6AF2-446D-A848-A26269E99D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807-4BCD-9E28-CBAF3B3849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C909A9-49BD-43DD-9416-C4FA17A127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807-4BCD-9E28-CBAF3B3849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3F8D9C-2897-47DF-8BE0-68EA95DEA5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807-4BCD-9E28-CBAF3B3849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2EA65F-6CF1-4E46-BA31-9298D21F8E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6807-4BCD-9E28-CBAF3B3849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E3F93C-9B92-429B-A981-B1C0292014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6807-4BCD-9E28-CBAF3B3849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BFB09B-FDE9-4EF8-8501-FB67332000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6807-4BCD-9E28-CBAF3B3849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4C47AB0-A582-4557-B881-2F6B334A86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6807-4BCD-9E28-CBAF3B3849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0932C8-6D6B-4EBF-B207-7AFB67E006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6807-4BCD-9E28-CBAF3B3849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1955E3-E2A7-432C-AE1D-9C75934A4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6807-4BCD-9E28-CBAF3B3849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97E496-BB7F-4B2B-A8F4-7D15207DD5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6807-4BCD-9E28-CBAF3B3849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99A31F-6BCD-41D6-A82E-BEA1AB9A85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6807-4BCD-9E28-CBAF3B3849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21D491-5869-4E59-858F-C161C94F76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6807-4BCD-9E28-CBAF3B3849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A3424F-C3FF-4290-B064-3172C9C397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6807-4BCD-9E28-CBAF3B3849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992477-ABFD-4F83-A41D-02F87A170C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6807-4BCD-9E28-CBAF3B3849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9D5AE3-96F2-4015-BBC6-AD356A5AA5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6807-4BCD-9E28-CBAF3B384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WageChart'!$H$21:$H$40</c:f>
              <c:numCache>
                <c:formatCode>_("$"* #,##0.00_);_("$"* \(#,##0.00\);_("$"* "-"??_);_(@_)</c:formatCode>
                <c:ptCount val="20"/>
                <c:pt idx="0">
                  <c:v>6.1999999999999957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WageChart'!$C$21:$C$40</c15:f>
                <c15:dlblRangeCache>
                  <c:ptCount val="20"/>
                  <c:pt idx="0">
                    <c:v> $45.08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2C-441B-B4B0-803C320D5ED4}"/>
            </c:ext>
          </c:extLst>
        </c:ser>
        <c:ser>
          <c:idx val="2"/>
          <c:order val="2"/>
          <c:tx>
            <c:strRef>
              <c:f>'Exhibit 13 - CVML WageChart'!$I$20</c:f>
              <c:strCache>
                <c:ptCount val="1"/>
                <c:pt idx="0">
                  <c:v> Experienced Hourly Earnings </c:v>
                </c:pt>
              </c:strCache>
            </c:strRef>
          </c:tx>
          <c:spPr>
            <a:solidFill>
              <a:srgbClr val="008985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489196938304922E-2"/>
                  <c:y val="4.4702758336184452E-3"/>
                </c:manualLayout>
              </c:layout>
              <c:tx>
                <c:rich>
                  <a:bodyPr/>
                  <a:lstStyle/>
                  <a:p>
                    <a:fld id="{B0823C89-A923-428E-BA65-3FD004FAA5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C94D-41FF-A88D-6E8B74B3B5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223F34-5DB2-4688-9CCB-C7CB67CD5B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88-4F75-AD76-0D6BCDD0C3B5}"/>
                </c:ext>
              </c:extLst>
            </c:dLbl>
            <c:dLbl>
              <c:idx val="2"/>
              <c:layout>
                <c:manualLayout>
                  <c:x val="0.10096715231317989"/>
                  <c:y val="-4.2790704842518518E-17"/>
                </c:manualLayout>
              </c:layout>
              <c:tx>
                <c:rich>
                  <a:bodyPr/>
                  <a:lstStyle/>
                  <a:p>
                    <a:fld id="{A9268E76-C9FD-452C-8A21-88E27E12D9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94D-41FF-A88D-6E8B74B3B5AE}"/>
                </c:ext>
              </c:extLst>
            </c:dLbl>
            <c:dLbl>
              <c:idx val="3"/>
              <c:layout>
                <c:manualLayout>
                  <c:x val="7.572536423488492E-2"/>
                  <c:y val="0"/>
                </c:manualLayout>
              </c:layout>
              <c:tx>
                <c:rich>
                  <a:bodyPr/>
                  <a:lstStyle/>
                  <a:p>
                    <a:fld id="{1CFD72B3-FEC6-45AB-8166-49880C069F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94D-41FF-A88D-6E8B74B3B5AE}"/>
                </c:ext>
              </c:extLst>
            </c:dLbl>
            <c:dLbl>
              <c:idx val="4"/>
              <c:layout>
                <c:manualLayout>
                  <c:x val="6.4907455058472785E-2"/>
                  <c:y val="-1.0697676210629629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Insufficient Data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3-C94D-41FF-A88D-6E8B74B3B5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B799FD-BC94-44D2-AF77-CF3601E371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6807-4BCD-9E28-CBAF3B3849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8E6615-C0BC-46EA-89ED-B437FF3664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6807-4BCD-9E28-CBAF3B3849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F57DE2-E21D-4E5C-B0D2-C180002A90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6807-4BCD-9E28-CBAF3B3849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5EBA90-D12D-405D-BDEB-2B5B68803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6807-4BCD-9E28-CBAF3B3849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D0B93E-F482-4F43-A2C9-F435FFFF98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6807-4BCD-9E28-CBAF3B3849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5685B4-C016-48A6-90F6-7D4730DBE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6807-4BCD-9E28-CBAF3B3849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5494C7-E33D-46C7-A875-F13395738D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6807-4BCD-9E28-CBAF3B3849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B4EC12-EEBC-4D64-BFCB-0477D05118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6807-4BCD-9E28-CBAF3B3849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A578B2-76D7-4A38-89CC-485732B100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6807-4BCD-9E28-CBAF3B3849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E84F00-8ADE-43DE-8E02-4F9E105295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6807-4BCD-9E28-CBAF3B3849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360E70-9CDF-4FF2-9823-C916DDD345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6807-4BCD-9E28-CBAF3B3849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A1796D-FE47-41DF-9772-34294CFD38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6807-4BCD-9E28-CBAF3B3849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326FAD-BD81-4151-BC90-537380E4AB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6807-4BCD-9E28-CBAF3B3849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9E9B98-2796-4808-8C42-E1485E3A74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6807-4BCD-9E28-CBAF3B3849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CBF3D5-0DA7-49C3-B2FD-73848BD68C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6807-4BCD-9E28-CBAF3B384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WageChart'!$I$21:$I$40</c:f>
              <c:numCache>
                <c:formatCode>_("$"* #,##0.00_);_("$"* \(#,##0.00\);_("$"* "-"??_);_(@_)</c:formatCode>
                <c:ptCount val="20"/>
                <c:pt idx="0">
                  <c:v>8.07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WageChart'!$D$21:$D$40</c15:f>
                <c15:dlblRangeCache>
                  <c:ptCount val="20"/>
                  <c:pt idx="0">
                    <c:v> $53.15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2C-441B-B4B0-803C320D5ED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0625704"/>
        <c:axId val="560626032"/>
      </c:barChart>
      <c:scatterChart>
        <c:scatterStyle val="lineMarker"/>
        <c:varyColors val="0"/>
        <c:ser>
          <c:idx val="3"/>
          <c:order val="3"/>
          <c:tx>
            <c:strRef>
              <c:f>'Exhibit 13 - CVML WageChart'!$G$1</c:f>
              <c:strCache>
                <c:ptCount val="1"/>
                <c:pt idx="0">
                  <c:v> CVML Living Wage for One Adult ($16.48) </c:v>
                </c:pt>
              </c:strCache>
            </c:strRef>
          </c:tx>
          <c:spPr>
            <a:ln w="28575" cap="rnd">
              <a:solidFill>
                <a:srgbClr val="4BACC6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'Exhibit 13 - CVML WageChart'!$G$2:$G$3</c:f>
              <c:numCache>
                <c:formatCode>_("$"* #,##0.00_);_("$"* \(#,##0.00\);_("$"* "-"??_);_(@_)</c:formatCode>
                <c:ptCount val="2"/>
                <c:pt idx="0">
                  <c:v>16.48</c:v>
                </c:pt>
                <c:pt idx="1">
                  <c:v>16.48</c:v>
                </c:pt>
              </c:numCache>
            </c:numRef>
          </c:xVal>
          <c:yVal>
            <c:numRef>
              <c:f>'Exhibit 13 - CVML WageChart'!$F$2:$F$3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2C-441B-B4B0-803C320D5ED4}"/>
            </c:ext>
          </c:extLst>
        </c:ser>
        <c:ser>
          <c:idx val="4"/>
          <c:order val="4"/>
          <c:tx>
            <c:strRef>
              <c:f>'Exhibit 13 - CVML WageChart'!$I$1</c:f>
              <c:strCache>
                <c:ptCount val="1"/>
                <c:pt idx="0">
                  <c:v> CVML Living Wage for One Adult and One Child ($33.49) </c:v>
                </c:pt>
              </c:strCache>
            </c:strRef>
          </c:tx>
          <c:spPr>
            <a:ln w="28575" cap="rnd">
              <a:solidFill>
                <a:srgbClr val="C55A1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'Exhibit 13 - CVML WageChart'!$I$2:$I$3</c:f>
              <c:numCache>
                <c:formatCode>_("$"* #,##0.00_);_("$"* \(#,##0.00\);_("$"* "-"??_);_(@_)</c:formatCode>
                <c:ptCount val="2"/>
                <c:pt idx="0">
                  <c:v>33.49</c:v>
                </c:pt>
                <c:pt idx="1">
                  <c:v>33.49</c:v>
                </c:pt>
              </c:numCache>
            </c:numRef>
          </c:xVal>
          <c:yVal>
            <c:numRef>
              <c:f>'Exhibit 13 - CVML WageChart'!$H$2:$H$3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9-4A1E-844C-729A876557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72943744"/>
        <c:axId val="572947024"/>
      </c:scatterChart>
      <c:catAx>
        <c:axId val="560625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26032"/>
        <c:crosses val="autoZero"/>
        <c:auto val="1"/>
        <c:lblAlgn val="ctr"/>
        <c:lblOffset val="100"/>
        <c:noMultiLvlLbl val="0"/>
      </c:catAx>
      <c:valAx>
        <c:axId val="560626032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560625704"/>
        <c:crosses val="autoZero"/>
        <c:crossBetween val="between"/>
      </c:valAx>
      <c:valAx>
        <c:axId val="572947024"/>
        <c:scaling>
          <c:orientation val="minMax"/>
          <c:max val="0.9"/>
          <c:min val="0.2"/>
        </c:scaling>
        <c:delete val="1"/>
        <c:axPos val="l"/>
        <c:numFmt formatCode="General" sourceLinked="1"/>
        <c:majorTickMark val="out"/>
        <c:minorTickMark val="none"/>
        <c:tickLblPos val="nextTo"/>
        <c:crossAx val="572943744"/>
        <c:crosses val="autoZero"/>
        <c:crossBetween val="midCat"/>
      </c:valAx>
      <c:valAx>
        <c:axId val="572943744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57294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1781175</xdr:colOff>
      <xdr:row>1</xdr:row>
      <xdr:rowOff>56232</xdr:rowOff>
    </xdr:from>
    <xdr:to>
      <xdr:col>3</xdr:col>
      <xdr:colOff>1344780</xdr:colOff>
      <xdr:row>15</xdr:row>
      <xdr:rowOff>104859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F10CA7-8342-FB4B-18F5-EDBC01781B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363140</xdr:colOff>
      <xdr:row>9</xdr:row>
      <xdr:rowOff>38115</xdr:rowOff>
    </xdr:from>
    <xdr:to>
      <xdr:col>10</xdr:col>
      <xdr:colOff>92753</xdr:colOff>
      <xdr:row>34</xdr:row>
      <xdr:rowOff>65942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AAADC6-9609-4E7B-8057-1080D30FB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380999</xdr:colOff>
      <xdr:row>4</xdr:row>
      <xdr:rowOff>119626</xdr:rowOff>
    </xdr:from>
    <xdr:to>
      <xdr:col>12</xdr:col>
      <xdr:colOff>110612</xdr:colOff>
      <xdr:row>19</xdr:row>
      <xdr:rowOff>36052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B8792D-CDA9-4E15-8FBC-5EEA25892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200991</xdr:colOff>
      <xdr:row>1</xdr:row>
      <xdr:rowOff>99687</xdr:rowOff>
    </xdr:from>
    <xdr:to>
      <xdr:col>5</xdr:col>
      <xdr:colOff>591622</xdr:colOff>
      <xdr:row>15</xdr:row>
      <xdr:rowOff>181710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D7636A-C0E8-4C6F-8687-9D1B4AB6B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%20Files\WebDrop\Projections\Documents%20and%20Settings\adacanay\Local%20Settings\Temporary%20Internet%20Files\OLK4\temp\short%20term\temp\short%20term\review%20meeting\Cal%20Ind_Worksheet_07-09_202%20pro%20rate(matc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%20Files\WebDrop\Projections\Documents%20and%20Settings\adacanay\Local%20Settings\Temporary%20Internet%20Files\OLK4\temp\short%20term\temp\short%20term\short%20term%20employment&amp;variab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7-3 09-3 ind wksh"/>
      <sheetName val="06-3 08-3 table2"/>
      <sheetName val="dec 00-07 ces monthly"/>
      <sheetName val="graph"/>
      <sheetName val="03-05 table2"/>
      <sheetName val="519_521 est"/>
      <sheetName val="519_521 graph data"/>
      <sheetName val="dept finance data"/>
      <sheetName val="ucla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81">
          <cell r="A81" t="str">
            <v>BCTV = BCRV + BCNV</v>
          </cell>
          <cell r="B81" t="str">
            <v>Total Valuation (Billion Dollars)</v>
          </cell>
          <cell r="G81">
            <v>29.353735999999998</v>
          </cell>
          <cell r="H81">
            <v>30.147407999999999</v>
          </cell>
          <cell r="I81">
            <v>32.425052000000001</v>
          </cell>
          <cell r="J81">
            <v>32.729300000000002</v>
          </cell>
          <cell r="K81">
            <v>33.083055999999999</v>
          </cell>
          <cell r="L81">
            <v>37.315036000000006</v>
          </cell>
          <cell r="M81">
            <v>40.126695999999995</v>
          </cell>
          <cell r="N81">
            <v>37.567024000000004</v>
          </cell>
          <cell r="O81">
            <v>41.420159999999996</v>
          </cell>
          <cell r="P81">
            <v>43.954768000000001</v>
          </cell>
          <cell r="Q81">
            <v>42.562727999999993</v>
          </cell>
          <cell r="R81">
            <v>42.421248000000006</v>
          </cell>
          <cell r="S81">
            <v>45.421900000000001</v>
          </cell>
          <cell r="T81">
            <v>47.810884000000001</v>
          </cell>
          <cell r="U81">
            <v>48.083308000000002</v>
          </cell>
          <cell r="V81">
            <v>47.351203999999996</v>
          </cell>
          <cell r="W81">
            <v>51.840435999999997</v>
          </cell>
          <cell r="X81">
            <v>47.276863999999996</v>
          </cell>
          <cell r="Y81">
            <v>43.848948000000007</v>
          </cell>
          <cell r="Z81">
            <v>41.412428000000006</v>
          </cell>
          <cell r="AA81">
            <v>44.636739999999996</v>
          </cell>
          <cell r="AB81">
            <v>47.517792</v>
          </cell>
          <cell r="AC81">
            <v>50.131948000000001</v>
          </cell>
          <cell r="AD81">
            <v>50.372116000000005</v>
          </cell>
          <cell r="AE81">
            <v>53.774591999999998</v>
          </cell>
          <cell r="AF81">
            <v>51.255052000000006</v>
          </cell>
          <cell r="AG81">
            <v>54.414867999999998</v>
          </cell>
          <cell r="AH81">
            <v>54.297144000000003</v>
          </cell>
          <cell r="AI81">
            <v>58.851843999999993</v>
          </cell>
          <cell r="AJ81">
            <v>60.735935999999995</v>
          </cell>
          <cell r="AK81">
            <v>63.023596000000005</v>
          </cell>
          <cell r="AL81">
            <v>61.107244000000001</v>
          </cell>
          <cell r="AM81">
            <v>60.604024000000003</v>
          </cell>
          <cell r="AN81">
            <v>68.056899999999999</v>
          </cell>
          <cell r="AO81">
            <v>73.260555999999994</v>
          </cell>
          <cell r="AP81">
            <v>60.403195999999994</v>
          </cell>
          <cell r="AQ81">
            <v>65.866816</v>
          </cell>
          <cell r="AR81">
            <v>63.864544000000002</v>
          </cell>
          <cell r="AS81">
            <v>57.525359999999999</v>
          </cell>
          <cell r="AT81">
            <v>51.157008000000005</v>
          </cell>
          <cell r="AU81">
            <v>57.419471999999999</v>
          </cell>
          <cell r="AV81">
            <v>52.376908</v>
          </cell>
          <cell r="AW81">
            <v>51.622719999999994</v>
          </cell>
          <cell r="AX81">
            <v>47.227069999999998</v>
          </cell>
          <cell r="AY81">
            <v>46.170029999999997</v>
          </cell>
          <cell r="AZ81">
            <v>45.328180000000003</v>
          </cell>
          <cell r="BA81">
            <v>44.81456</v>
          </cell>
          <cell r="BB81">
            <v>46.779440000000001</v>
          </cell>
          <cell r="BC81">
            <v>47.88035</v>
          </cell>
          <cell r="BD81">
            <v>49.203699999999998</v>
          </cell>
          <cell r="BE81">
            <v>50.14931</v>
          </cell>
          <cell r="BF81">
            <v>50.685370000000006</v>
          </cell>
          <cell r="BG81">
            <v>52.76417</v>
          </cell>
          <cell r="BH81">
            <v>54.333489999999998</v>
          </cell>
          <cell r="BI81">
            <v>56.334490000000002</v>
          </cell>
          <cell r="BJ81">
            <v>57.985840000000003</v>
          </cell>
        </row>
        <row r="82">
          <cell r="A82" t="str">
            <v>BCRV = (BCRU * BCAV)</v>
          </cell>
          <cell r="C82" t="str">
            <v>Residential</v>
          </cell>
          <cell r="G82">
            <v>17.361927999999999</v>
          </cell>
          <cell r="H82">
            <v>17.255088000000001</v>
          </cell>
          <cell r="I82">
            <v>19.705196000000001</v>
          </cell>
          <cell r="J82">
            <v>20.989004000000001</v>
          </cell>
          <cell r="K82">
            <v>19.500536</v>
          </cell>
          <cell r="L82">
            <v>20.708688000000002</v>
          </cell>
          <cell r="M82">
            <v>23.38138</v>
          </cell>
          <cell r="N82">
            <v>24.329184000000001</v>
          </cell>
          <cell r="O82">
            <v>24.860132</v>
          </cell>
          <cell r="P82">
            <v>26.114632</v>
          </cell>
          <cell r="Q82">
            <v>25.564687999999997</v>
          </cell>
          <cell r="R82">
            <v>26.647852</v>
          </cell>
          <cell r="S82">
            <v>27.610284</v>
          </cell>
          <cell r="T82">
            <v>27.401683999999999</v>
          </cell>
          <cell r="U82">
            <v>27.630292000000001</v>
          </cell>
          <cell r="V82">
            <v>30.548879999999997</v>
          </cell>
          <cell r="W82">
            <v>31.828915999999996</v>
          </cell>
          <cell r="X82">
            <v>27.869911999999996</v>
          </cell>
          <cell r="Y82">
            <v>27.132016000000004</v>
          </cell>
          <cell r="Z82">
            <v>29.397144000000004</v>
          </cell>
          <cell r="AA82">
            <v>30.196871999999999</v>
          </cell>
          <cell r="AB82">
            <v>31.214611999999995</v>
          </cell>
          <cell r="AC82">
            <v>34.612003999999999</v>
          </cell>
          <cell r="AD82">
            <v>37.832884</v>
          </cell>
          <cell r="AE82">
            <v>39.985267999999998</v>
          </cell>
          <cell r="AF82">
            <v>35.777212000000006</v>
          </cell>
          <cell r="AG82">
            <v>38.401195999999999</v>
          </cell>
          <cell r="AH82">
            <v>43.057624000000004</v>
          </cell>
          <cell r="AI82">
            <v>44.387327999999997</v>
          </cell>
          <cell r="AJ82">
            <v>42.682671999999997</v>
          </cell>
          <cell r="AK82">
            <v>45.025144000000004</v>
          </cell>
          <cell r="AL82">
            <v>48.018528000000003</v>
          </cell>
          <cell r="AM82">
            <v>44.947000000000003</v>
          </cell>
          <cell r="AN82">
            <v>46.946244</v>
          </cell>
          <cell r="AO82">
            <v>52.584987999999996</v>
          </cell>
          <cell r="AP82">
            <v>43.620148</v>
          </cell>
          <cell r="AQ82">
            <v>44.032015999999999</v>
          </cell>
          <cell r="AR82">
            <v>40.782128</v>
          </cell>
          <cell r="AS82">
            <v>34.953656000000002</v>
          </cell>
          <cell r="AT82">
            <v>32.483280000000001</v>
          </cell>
          <cell r="AU82">
            <v>33.661704</v>
          </cell>
          <cell r="AV82">
            <v>29.014531999999999</v>
          </cell>
          <cell r="AW82">
            <v>27.012839999999997</v>
          </cell>
          <cell r="AX82">
            <v>24.509540000000001</v>
          </cell>
          <cell r="AY82">
            <v>23.703720000000001</v>
          </cell>
          <cell r="AZ82">
            <v>22.848510000000001</v>
          </cell>
          <cell r="BA82">
            <v>22.15992</v>
          </cell>
          <cell r="BB82">
            <v>23.90681</v>
          </cell>
          <cell r="BC82">
            <v>24.76549</v>
          </cell>
          <cell r="BD82">
            <v>25.843959999999999</v>
          </cell>
          <cell r="BE82">
            <v>26.538060000000002</v>
          </cell>
          <cell r="BF82">
            <v>26.819420000000001</v>
          </cell>
          <cell r="BG82">
            <v>28.638380000000002</v>
          </cell>
          <cell r="BH82">
            <v>29.93844</v>
          </cell>
          <cell r="BI82">
            <v>31.653749999999999</v>
          </cell>
          <cell r="BJ82">
            <v>33.002870000000001</v>
          </cell>
        </row>
      </sheetData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F_quarterly"/>
      <sheetName val="DOF_state_US_annual_quart"/>
      <sheetName val="us indicators monthly"/>
      <sheetName val="DOF_state_Quarterly"/>
      <sheetName val="ucla quarterly"/>
      <sheetName val="govt series_monthly"/>
      <sheetName val="ces monthly 00-07 (2)"/>
      <sheetName val="ces monthly 00-07 (3)"/>
      <sheetName val="ces monthly 90-99 (2)"/>
      <sheetName val="ces monthly 90-07"/>
      <sheetName val="ces monthly 90-07 (2)"/>
      <sheetName val="STATE employment_monthly"/>
      <sheetName val="STATE employment_monthly (2)"/>
      <sheetName val="CA_empl_00-07"/>
      <sheetName val="state employ import"/>
      <sheetName val="govt series_monthly (2)"/>
      <sheetName val="Sheet4"/>
      <sheetName val="ces monthly 00-07"/>
      <sheetName val="ces monthly 90-99"/>
      <sheetName val="STATE farm_monthly"/>
      <sheetName val="state_variables monthly"/>
    </sheetNames>
    <sheetDataSet>
      <sheetData sheetId="0"/>
      <sheetData sheetId="1"/>
      <sheetData sheetId="2"/>
      <sheetData sheetId="3">
        <row r="81">
          <cell r="A81" t="str">
            <v>BCTV = BCRV + BCNV</v>
          </cell>
          <cell r="B81" t="str">
            <v>Total Valuation (Billion Dollars)</v>
          </cell>
          <cell r="G81">
            <v>29.353735999999998</v>
          </cell>
          <cell r="H81">
            <v>30.147407999999999</v>
          </cell>
          <cell r="I81">
            <v>32.425052000000001</v>
          </cell>
          <cell r="J81">
            <v>32.729300000000002</v>
          </cell>
          <cell r="K81">
            <v>33.083055999999999</v>
          </cell>
          <cell r="L81">
            <v>37.315036000000006</v>
          </cell>
          <cell r="M81">
            <v>40.126695999999995</v>
          </cell>
          <cell r="N81">
            <v>37.567024000000004</v>
          </cell>
          <cell r="O81">
            <v>41.420159999999996</v>
          </cell>
          <cell r="P81">
            <v>43.954768000000001</v>
          </cell>
          <cell r="Q81">
            <v>42.562727999999993</v>
          </cell>
          <cell r="R81">
            <v>42.421248000000006</v>
          </cell>
          <cell r="S81">
            <v>45.421900000000001</v>
          </cell>
          <cell r="T81">
            <v>47.810884000000001</v>
          </cell>
          <cell r="U81">
            <v>48.083308000000002</v>
          </cell>
          <cell r="V81">
            <v>47.351203999999996</v>
          </cell>
          <cell r="W81">
            <v>51.840435999999997</v>
          </cell>
          <cell r="X81">
            <v>47.276863999999996</v>
          </cell>
          <cell r="Y81">
            <v>43.848948000000007</v>
          </cell>
          <cell r="Z81">
            <v>41.412428000000006</v>
          </cell>
          <cell r="AA81">
            <v>44.636739999999996</v>
          </cell>
          <cell r="AB81">
            <v>47.517792</v>
          </cell>
          <cell r="AC81">
            <v>50.131948000000001</v>
          </cell>
          <cell r="AD81">
            <v>50.372116000000005</v>
          </cell>
          <cell r="AE81">
            <v>53.774591999999998</v>
          </cell>
          <cell r="AF81">
            <v>51.255052000000006</v>
          </cell>
          <cell r="AG81">
            <v>54.414867999999998</v>
          </cell>
          <cell r="AH81">
            <v>54.297144000000003</v>
          </cell>
          <cell r="AI81">
            <v>58.851843999999993</v>
          </cell>
          <cell r="AJ81">
            <v>60.735935999999995</v>
          </cell>
          <cell r="AK81">
            <v>63.023596000000005</v>
          </cell>
          <cell r="AL81">
            <v>61.107244000000001</v>
          </cell>
          <cell r="AM81">
            <v>60.604024000000003</v>
          </cell>
          <cell r="AN81">
            <v>68.056899999999999</v>
          </cell>
          <cell r="AO81">
            <v>73.260555999999994</v>
          </cell>
          <cell r="AP81">
            <v>60.403195999999994</v>
          </cell>
          <cell r="AQ81">
            <v>65.866816</v>
          </cell>
          <cell r="AR81">
            <v>63.864544000000002</v>
          </cell>
          <cell r="AS81">
            <v>57.525359999999999</v>
          </cell>
          <cell r="AT81">
            <v>51.157008000000005</v>
          </cell>
          <cell r="AU81">
            <v>57.419471999999999</v>
          </cell>
          <cell r="AV81">
            <v>52.376908</v>
          </cell>
          <cell r="AW81">
            <v>51.622719999999994</v>
          </cell>
          <cell r="AX81">
            <v>47.227069999999998</v>
          </cell>
          <cell r="AY81">
            <v>46.170029999999997</v>
          </cell>
          <cell r="AZ81">
            <v>45.328180000000003</v>
          </cell>
          <cell r="BA81">
            <v>44.81456</v>
          </cell>
          <cell r="BB81">
            <v>46.779440000000001</v>
          </cell>
          <cell r="BC81">
            <v>47.88035</v>
          </cell>
          <cell r="BD81">
            <v>49.203699999999998</v>
          </cell>
          <cell r="BE81">
            <v>50.14931</v>
          </cell>
          <cell r="BF81">
            <v>50.685370000000006</v>
          </cell>
          <cell r="BG81">
            <v>52.76417</v>
          </cell>
          <cell r="BH81">
            <v>54.333489999999998</v>
          </cell>
          <cell r="BI81">
            <v>56.334490000000002</v>
          </cell>
          <cell r="BJ81">
            <v>57.985840000000003</v>
          </cell>
        </row>
        <row r="82">
          <cell r="A82" t="str">
            <v>BCRV = (BCRU * BCAV)</v>
          </cell>
          <cell r="C82" t="str">
            <v>Residential</v>
          </cell>
          <cell r="G82">
            <v>17.361927999999999</v>
          </cell>
          <cell r="H82">
            <v>17.255088000000001</v>
          </cell>
          <cell r="I82">
            <v>19.705196000000001</v>
          </cell>
          <cell r="J82">
            <v>20.989004000000001</v>
          </cell>
          <cell r="K82">
            <v>19.500536</v>
          </cell>
          <cell r="L82">
            <v>20.708688000000002</v>
          </cell>
          <cell r="M82">
            <v>23.38138</v>
          </cell>
          <cell r="N82">
            <v>24.329184000000001</v>
          </cell>
          <cell r="O82">
            <v>24.860132</v>
          </cell>
          <cell r="P82">
            <v>26.114632</v>
          </cell>
          <cell r="Q82">
            <v>25.564687999999997</v>
          </cell>
          <cell r="R82">
            <v>26.647852</v>
          </cell>
          <cell r="S82">
            <v>27.610284</v>
          </cell>
          <cell r="T82">
            <v>27.401683999999999</v>
          </cell>
          <cell r="U82">
            <v>27.630292000000001</v>
          </cell>
          <cell r="V82">
            <v>30.548879999999997</v>
          </cell>
          <cell r="W82">
            <v>31.828915999999996</v>
          </cell>
          <cell r="X82">
            <v>27.869911999999996</v>
          </cell>
          <cell r="Y82">
            <v>27.132016000000004</v>
          </cell>
          <cell r="Z82">
            <v>29.397144000000004</v>
          </cell>
          <cell r="AA82">
            <v>30.196871999999999</v>
          </cell>
          <cell r="AB82">
            <v>31.214611999999995</v>
          </cell>
          <cell r="AC82">
            <v>34.612003999999999</v>
          </cell>
          <cell r="AD82">
            <v>37.832884</v>
          </cell>
          <cell r="AE82">
            <v>39.985267999999998</v>
          </cell>
          <cell r="AF82">
            <v>35.777212000000006</v>
          </cell>
          <cell r="AG82">
            <v>38.401195999999999</v>
          </cell>
          <cell r="AH82">
            <v>43.057624000000004</v>
          </cell>
          <cell r="AI82">
            <v>44.387327999999997</v>
          </cell>
          <cell r="AJ82">
            <v>42.682671999999997</v>
          </cell>
          <cell r="AK82">
            <v>45.025144000000004</v>
          </cell>
          <cell r="AL82">
            <v>48.018528000000003</v>
          </cell>
          <cell r="AM82">
            <v>44.947000000000003</v>
          </cell>
          <cell r="AN82">
            <v>46.946244</v>
          </cell>
          <cell r="AO82">
            <v>52.584987999999996</v>
          </cell>
          <cell r="AP82">
            <v>43.620148</v>
          </cell>
          <cell r="AQ82">
            <v>44.032015999999999</v>
          </cell>
          <cell r="AR82">
            <v>40.782128</v>
          </cell>
          <cell r="AS82">
            <v>34.953656000000002</v>
          </cell>
          <cell r="AT82">
            <v>32.483280000000001</v>
          </cell>
          <cell r="AU82">
            <v>33.661704</v>
          </cell>
          <cell r="AV82">
            <v>29.014531999999999</v>
          </cell>
          <cell r="AW82">
            <v>27.012839999999997</v>
          </cell>
          <cell r="AX82">
            <v>24.509540000000001</v>
          </cell>
          <cell r="AY82">
            <v>23.703720000000001</v>
          </cell>
          <cell r="AZ82">
            <v>22.848510000000001</v>
          </cell>
          <cell r="BA82">
            <v>22.15992</v>
          </cell>
          <cell r="BB82">
            <v>23.90681</v>
          </cell>
          <cell r="BC82">
            <v>24.76549</v>
          </cell>
          <cell r="BD82">
            <v>25.843959999999999</v>
          </cell>
          <cell r="BE82">
            <v>26.538060000000002</v>
          </cell>
          <cell r="BF82">
            <v>26.819420000000001</v>
          </cell>
          <cell r="BG82">
            <v>28.638380000000002</v>
          </cell>
          <cell r="BH82">
            <v>29.93844</v>
          </cell>
          <cell r="BI82">
            <v>31.653749999999999</v>
          </cell>
          <cell r="BJ82">
            <v>33.002870000000001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3EDB1F64-3130-492B-828E-0A92B12EB79C}" autoFormatId="16" applyNumberFormats="0" applyBorderFormats="0" applyFontFormats="0" applyPatternFormats="0" applyAlignmentFormats="0" applyWidthHeightFormats="0">
  <queryTableRefresh nextId="6">
    <queryTableFields count="5">
      <queryTableField id="1" name="field" tableColumnId="1"/>
      <queryTableField id="2" name="High School Diploma or Less" tableColumnId="2"/>
      <queryTableField id="3" name="Some College or Associate Degree" tableColumnId="3"/>
      <queryTableField id="4" name="Bachelor's Degree" tableColumnId="4"/>
      <queryTableField id="5" name="Graduate or Professional Degre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923DDA2D-633C-4A3C-8FD6-683914393ACE}" autoFormatId="16" applyNumberFormats="0" applyBorderFormats="0" applyFontFormats="0" applyPatternFormats="0" applyAlignmentFormats="0" applyWidthHeightFormats="0">
  <queryTableRefresh nextId="108">
    <queryTableFields count="12">
      <queryTableField id="101" name="region" tableColumnId="2"/>
      <queryTableField id="95" name="2024" tableColumnId="7"/>
      <queryTableField id="96" name="2025" tableColumnId="8"/>
      <queryTableField id="97" name="2026" tableColumnId="9"/>
      <queryTableField id="98" name="2027" tableColumnId="10"/>
      <queryTableField id="99" name="2028" tableColumnId="11"/>
      <queryTableField id="100" name="2029" tableColumnId="12"/>
      <queryTableField id="103" name="2030" tableColumnId="1"/>
      <queryTableField id="104" name="2031" tableColumnId="3"/>
      <queryTableField id="105" name="2032" tableColumnId="4"/>
      <queryTableField id="106" name="2033" tableColumnId="5"/>
      <queryTableField id="107" name="2034" tableColumnId="6"/>
    </queryTableFields>
    <queryTableDeletedFields count="24">
      <deletedField name="SOC"/>
      <deletedField name="2013"/>
      <deletedField name="2014"/>
      <deletedField name="2015"/>
      <deletedField name="2016"/>
      <deletedField name="2017"/>
      <deletedField name="2018"/>
      <deletedField name="2019"/>
      <deletedField name="2020"/>
      <deletedField name="2021"/>
      <deletedField name="2022"/>
      <deletedField name="2023"/>
      <deletedField name="2013"/>
      <deletedField name="2014"/>
      <deletedField name="2015"/>
      <deletedField name="2016"/>
      <deletedField name="2017"/>
      <deletedField name="2018"/>
      <deletedField name="2019"/>
      <deletedField name="2020"/>
      <deletedField name="2021"/>
      <deletedField name="2022"/>
      <deletedField name="2023"/>
      <deletedField name="Avg. Annual Openings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4" xr16:uid="{DCBCEA33-46D2-48B6-8816-4282DA1799CD}" autoFormatId="16" applyNumberFormats="0" applyBorderFormats="0" applyFontFormats="0" applyPatternFormats="0" applyAlignmentFormats="0" applyWidthHeightFormats="0">
  <queryTableRefresh nextId="81">
    <queryTableFields count="12">
      <queryTableField id="48" name="region" tableColumnId="1"/>
      <queryTableField id="71" name="2014" tableColumnId="8"/>
      <queryTableField id="72" name="2015" tableColumnId="9"/>
      <queryTableField id="73" name="2016" tableColumnId="10"/>
      <queryTableField id="74" name="2017" tableColumnId="11"/>
      <queryTableField id="75" name="2018" tableColumnId="12"/>
      <queryTableField id="60" name="2019" tableColumnId="2"/>
      <queryTableField id="61" name="2020" tableColumnId="3"/>
      <queryTableField id="62" name="2021" tableColumnId="4"/>
      <queryTableField id="63" name="2022" tableColumnId="5"/>
      <queryTableField id="64" name="2023" tableColumnId="6"/>
      <queryTableField id="65" name="2024" tableColumnId="7"/>
    </queryTableFields>
    <queryTableDeletedFields count="14">
      <deletedField name="2013"/>
      <deletedField name="2025"/>
      <deletedField name="2026"/>
      <deletedField name="2027"/>
      <deletedField name="2028"/>
      <deletedField name="2029"/>
      <deletedField name="2030"/>
      <deletedField name="2031"/>
      <deletedField name="2032"/>
      <deletedField name="2033"/>
      <deletedField name="2034"/>
      <deletedField name="2035"/>
      <deletedField name="2013"/>
      <deletedField name="2035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D23DE26-09C7-4A0A-ABF2-7DCDA0968266}" autoFormatId="16" applyNumberFormats="0" applyBorderFormats="0" applyFontFormats="0" applyPatternFormats="0" applyAlignmentFormats="0" applyWidthHeightFormats="0">
  <queryTableRefresh nextId="5">
    <queryTableFields count="4">
      <queryTableField id="1" name="Description" tableColumnId="1"/>
      <queryTableField id="2" name="Entry-Level Hourly Earnings" tableColumnId="2"/>
      <queryTableField id="3" name="Median Hourly Earnings" tableColumnId="3"/>
      <queryTableField id="4" name="Experienced Hourly Earnings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378F71-B5AD-41C3-90DF-95B614338C2F}" name="DynamicPath" displayName="DynamicPath" ref="A1:A2" totalsRowShown="0">
  <autoFilter ref="A1:A2" xr:uid="{E6378F71-B5AD-41C3-90DF-95B614338C2F}"/>
  <tableColumns count="1">
    <tableColumn id="1" xr3:uid="{3809A894-B015-473B-81EC-C5E0B9BD1064}" name="Column1">
      <calculatedColumnFormula array="1">LEFT(CELL("filename"),SEARCH("[",CELL("filename"))-1)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EB78DB7-6741-4342-B6FA-39F0AB4BC48A}" name="Exhibit2" displayName="Exhibit2" ref="A1:E2" tableType="queryTable" totalsRowShown="0" headerRowDxfId="23" dataDxfId="22">
  <autoFilter ref="A1:E2" xr:uid="{6EB78DB7-6741-4342-B6FA-39F0AB4BC48A}"/>
  <tableColumns count="5">
    <tableColumn id="1" xr3:uid="{FD8822A3-342A-44C2-8A90-080372E40F4B}" uniqueName="1" name="field" queryTableFieldId="1" dataDxfId="21"/>
    <tableColumn id="2" xr3:uid="{1DC03F0D-7DD6-41CF-A12B-7A9FC1C0EF5D}" uniqueName="2" name="High School Diploma or Less" queryTableFieldId="2" dataDxfId="20"/>
    <tableColumn id="3" xr3:uid="{EC98C3E1-DD49-41A9-9E09-F15D75995E68}" uniqueName="3" name="Some College or Associate Degree" queryTableFieldId="3" dataDxfId="19"/>
    <tableColumn id="4" xr3:uid="{CA6DAFC5-6F13-48D0-9505-1629425A66A4}" uniqueName="4" name="Bachelor's Degree" queryTableFieldId="4" dataDxfId="18"/>
    <tableColumn id="5" xr3:uid="{AC6C7906-ABCF-4965-A28E-546C9BF9BEFF}" uniqueName="5" name="Graduate or Professional Degree" queryTableFieldId="5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7CC84A-1285-4572-BE23-BAF421D811EF}" name="Exhibit7" displayName="Exhibit7" ref="A1:L2" tableType="queryTable" totalsRowShown="0" headerRowDxfId="16" dataDxfId="15">
  <autoFilter ref="A1:L2" xr:uid="{E09FB87D-7453-4E47-A26C-5387B1C4F4F5}"/>
  <tableColumns count="12">
    <tableColumn id="2" xr3:uid="{DD0DD85B-4A98-4800-80EA-AA54D57088A2}" uniqueName="2" name="region" queryTableFieldId="101" dataDxfId="14"/>
    <tableColumn id="7" xr3:uid="{A935EBAA-27FF-4650-9A5C-0F30F4D865FC}" uniqueName="7" name="2024" queryTableFieldId="95" dataDxfId="13"/>
    <tableColumn id="8" xr3:uid="{2313E351-5762-4ACB-9903-418593640F5A}" uniqueName="8" name="2025" queryTableFieldId="96" dataDxfId="12"/>
    <tableColumn id="9" xr3:uid="{85400FC1-3FC9-42D6-8741-3BB816212B8C}" uniqueName="9" name="2026" queryTableFieldId="97" dataDxfId="11"/>
    <tableColumn id="10" xr3:uid="{C38C6B4F-AD7D-4576-A95A-628D3B49424A}" uniqueName="10" name="2027" queryTableFieldId="98" dataDxfId="10"/>
    <tableColumn id="11" xr3:uid="{7D7BC451-1C3B-4AB6-99A8-7017F2807805}" uniqueName="11" name="2028" queryTableFieldId="99" dataDxfId="9"/>
    <tableColumn id="12" xr3:uid="{4E55E895-9309-4318-9489-1195759ACA05}" uniqueName="12" name="2029" queryTableFieldId="100" dataDxfId="8"/>
    <tableColumn id="1" xr3:uid="{E9C569C5-EF87-42FC-90B4-5D3DBC6C945A}" uniqueName="1" name="2030" queryTableFieldId="103"/>
    <tableColumn id="3" xr3:uid="{0B4AC7D9-36B9-4664-9D1C-9C33C1106AB4}" uniqueName="3" name="2031" queryTableFieldId="104"/>
    <tableColumn id="4" xr3:uid="{5680729A-A6F0-44AA-AFA6-F252271E79A3}" uniqueName="4" name="2032" queryTableFieldId="105"/>
    <tableColumn id="5" xr3:uid="{54815898-187E-4056-AAB7-DB561FFA9F1F}" uniqueName="5" name="2033" queryTableFieldId="106"/>
    <tableColumn id="6" xr3:uid="{194A2EA3-AFD1-4169-A7E9-502C38C5A2F5}" uniqueName="6" name="2034" queryTableFieldId="10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09FB87D-7453-4E47-A26C-5387B1C4F4F5}" name="Exhibit9" displayName="Exhibit9" ref="A1:L3" tableType="queryTable" totalsRowShown="0" headerRowDxfId="7" dataDxfId="6">
  <autoFilter ref="A1:L3" xr:uid="{E09FB87D-7453-4E47-A26C-5387B1C4F4F5}"/>
  <tableColumns count="12">
    <tableColumn id="1" xr3:uid="{C1C1514D-7D43-4773-BE85-A596BA2B9E18}" uniqueName="1" name="region" queryTableFieldId="48"/>
    <tableColumn id="8" xr3:uid="{4760E72C-BF70-4383-844B-2528EBE047CC}" uniqueName="8" name="2014" queryTableFieldId="71"/>
    <tableColumn id="9" xr3:uid="{EA38095C-AD64-409B-8772-619BF7F930CD}" uniqueName="9" name="2015" queryTableFieldId="72"/>
    <tableColumn id="10" xr3:uid="{7FA15587-A21F-4D9F-8C44-73D62F7DF415}" uniqueName="10" name="2016" queryTableFieldId="73"/>
    <tableColumn id="11" xr3:uid="{30D69DB4-ADF0-4229-BAF2-A9492D026D7E}" uniqueName="11" name="2017" queryTableFieldId="74"/>
    <tableColumn id="12" xr3:uid="{F9DEB746-2061-4EB6-8360-F71634F7E91B}" uniqueName="12" name="2018" queryTableFieldId="75"/>
    <tableColumn id="2" xr3:uid="{CCB493AD-B509-4781-BE58-EF8C4DADF988}" uniqueName="2" name="2019" queryTableFieldId="60"/>
    <tableColumn id="3" xr3:uid="{C2F0CD1A-031E-4837-A480-8A7C1518AC6E}" uniqueName="3" name="2020" queryTableFieldId="61"/>
    <tableColumn id="4" xr3:uid="{7A11D5FE-FC66-461F-BAD5-D3132FCD3B03}" uniqueName="4" name="2021" queryTableFieldId="62"/>
    <tableColumn id="5" xr3:uid="{4D20E31B-BD24-4BE4-BC8F-5B746797AA09}" uniqueName="5" name="2022" queryTableFieldId="63"/>
    <tableColumn id="6" xr3:uid="{2648520F-6556-4A1D-BD31-284761F6ACB7}" uniqueName="6" name="2023" queryTableFieldId="64"/>
    <tableColumn id="7" xr3:uid="{E23DBE5B-F113-4A81-9852-DEF7DA24A1A6}" uniqueName="7" name="2024" queryTableFieldId="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95E6347-DC63-4537-A600-620F2D5639CB}" name="Exhibit13" displayName="Exhibit13" ref="A1:D2" tableType="queryTable" totalsRowShown="0" headerRowDxfId="5" dataDxfId="4">
  <autoFilter ref="A1:D2" xr:uid="{B95E6347-DC63-4537-A600-620F2D5639CB}"/>
  <tableColumns count="4">
    <tableColumn id="1" xr3:uid="{B6E110ED-0494-47C7-8676-A46EB9866CBF}" uniqueName="1" name="Description" queryTableFieldId="1" dataDxfId="3"/>
    <tableColumn id="2" xr3:uid="{62A45824-A5E4-4446-9C59-5DD3E042811A}" uniqueName="2" name="Entry-Level Hourly Earnings" queryTableFieldId="2" dataDxfId="2"/>
    <tableColumn id="3" xr3:uid="{79A708D4-3FFB-44C5-BE0F-50EE6404EDEE}" uniqueName="3" name="Median Hourly Earnings" queryTableFieldId="3" dataDxfId="1"/>
    <tableColumn id="4" xr3:uid="{73105746-A2F9-4519-80A0-8C550C57DCB8}" uniqueName="4" name="Experienced Hourly Earnings" queryTableFieldId="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549E032-F85E-48F5-86AD-7D41B4CAEC7C}">
  <we:reference id="wa104380955" version="3.16.2.1" store="en-US" storeType="OMEX"/>
  <we:alternateReferences>
    <we:reference id="WA104380955" version="3.16.2.1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9A976-8691-42E7-8CAC-FA556A5A61D3}">
  <sheetPr codeName="Sheet2">
    <tabColor rgb="FFFFFF00"/>
  </sheetPr>
  <dimension ref="A1:A2"/>
  <sheetViews>
    <sheetView workbookViewId="0">
      <selection activeCell="A3" sqref="A3"/>
    </sheetView>
  </sheetViews>
  <sheetFormatPr defaultRowHeight="15.75" x14ac:dyDescent="0.25"/>
  <cols>
    <col min="1" max="1" width="9.33203125" customWidth="1"/>
  </cols>
  <sheetData>
    <row r="1" spans="1:1" x14ac:dyDescent="0.25">
      <c r="A1" t="s">
        <v>11</v>
      </c>
    </row>
    <row r="2" spans="1:1" x14ac:dyDescent="0.25">
      <c r="A2" t="str" cm="1">
        <f t="array" aca="1" ref="A2" ca="1">LEFT(CELL("filename"),SEARCH("[",CELL("filename"))-1)</f>
        <v>C:\Users\if001\Documents\LaborMarketAssessments\BDP-LMA\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ECA66-5A46-4EF3-A12A-8B240D474846}">
  <sheetPr codeName="Sheet15">
    <tabColor rgb="FFFFFF00"/>
  </sheetPr>
  <dimension ref="A1:E2"/>
  <sheetViews>
    <sheetView workbookViewId="0">
      <selection activeCell="B26" sqref="B26"/>
    </sheetView>
  </sheetViews>
  <sheetFormatPr defaultRowHeight="15.75" x14ac:dyDescent="0.25"/>
  <cols>
    <col min="1" max="1" width="18.44140625" bestFit="1" customWidth="1"/>
    <col min="2" max="2" width="27.44140625" bestFit="1" customWidth="1"/>
    <col min="3" max="3" width="32.21875" bestFit="1" customWidth="1"/>
    <col min="4" max="4" width="18.21875" bestFit="1" customWidth="1"/>
    <col min="5" max="5" width="30.6640625" bestFit="1" customWidth="1"/>
  </cols>
  <sheetData>
    <row r="1" spans="1:5" ht="17.25" x14ac:dyDescent="0.3">
      <c r="A1" s="9" t="s">
        <v>12</v>
      </c>
      <c r="B1" s="9" t="s">
        <v>5</v>
      </c>
      <c r="C1" s="9" t="s">
        <v>6</v>
      </c>
      <c r="D1" s="9" t="s">
        <v>7</v>
      </c>
      <c r="E1" s="9" t="s">
        <v>8</v>
      </c>
    </row>
    <row r="2" spans="1:5" ht="17.25" x14ac:dyDescent="0.3">
      <c r="A2" s="9" t="s">
        <v>29</v>
      </c>
      <c r="B2" s="9">
        <v>0.02</v>
      </c>
      <c r="C2" s="9">
        <v>0.62</v>
      </c>
      <c r="D2" s="9">
        <v>0.31</v>
      </c>
      <c r="E2" s="9">
        <v>0.06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FFFF00"/>
  </sheetPr>
  <dimension ref="A9:E41"/>
  <sheetViews>
    <sheetView topLeftCell="A16" zoomScale="160" zoomScaleNormal="160" workbookViewId="0">
      <selection activeCell="A38" sqref="A38"/>
    </sheetView>
  </sheetViews>
  <sheetFormatPr defaultColWidth="11.5546875" defaultRowHeight="15.75" x14ac:dyDescent="0.25"/>
  <cols>
    <col min="1" max="1" width="33.44140625" customWidth="1"/>
    <col min="2" max="2" width="26.109375" style="3" customWidth="1"/>
    <col min="3" max="3" width="31.88671875" style="3" customWidth="1"/>
    <col min="4" max="4" width="17" style="3" customWidth="1"/>
    <col min="5" max="5" width="30.44140625" style="3" customWidth="1"/>
  </cols>
  <sheetData>
    <row r="9" spans="2:5" x14ac:dyDescent="0.25">
      <c r="B9" s="22"/>
      <c r="C9" s="22"/>
      <c r="D9" s="22"/>
      <c r="E9" s="22"/>
    </row>
    <row r="10" spans="2:5" x14ac:dyDescent="0.25">
      <c r="B10" s="22"/>
      <c r="C10" s="22"/>
      <c r="D10" s="22"/>
      <c r="E10" s="22"/>
    </row>
    <row r="11" spans="2:5" x14ac:dyDescent="0.25">
      <c r="B11" s="22"/>
      <c r="C11" s="22"/>
      <c r="D11" s="22"/>
      <c r="E11" s="22"/>
    </row>
    <row r="20" spans="1:5" ht="17.25" x14ac:dyDescent="0.3">
      <c r="A20" s="9" t="s">
        <v>0</v>
      </c>
      <c r="B20" s="14" t="s">
        <v>5</v>
      </c>
      <c r="C20" s="14" t="s">
        <v>6</v>
      </c>
      <c r="D20" s="14" t="s">
        <v>7</v>
      </c>
      <c r="E20" s="14" t="s">
        <v>8</v>
      </c>
    </row>
    <row r="21" spans="1:5" ht="17.25" x14ac:dyDescent="0.3">
      <c r="A21" s="15" t="str" cm="1">
        <f t="array" ref="A21:E21">Exhibit2[]</f>
        <v>Respiratory Therapists</v>
      </c>
      <c r="B21" s="11">
        <v>0.02</v>
      </c>
      <c r="C21" s="11">
        <v>0.62</v>
      </c>
      <c r="D21" s="11">
        <v>0.31</v>
      </c>
      <c r="E21" s="11">
        <v>0.06</v>
      </c>
    </row>
    <row r="41" spans="2:5" s="24" customFormat="1" x14ac:dyDescent="0.25">
      <c r="B41" s="23"/>
      <c r="C41" s="23"/>
      <c r="D41" s="23"/>
      <c r="E41" s="23"/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81D6-BBE2-4C34-B74B-2C41BB2EEDFF}">
  <sheetPr codeName="Sheet6">
    <tabColor rgb="FFFFFF00"/>
  </sheetPr>
  <dimension ref="A1:L2"/>
  <sheetViews>
    <sheetView workbookViewId="0">
      <selection sqref="A1:L2"/>
    </sheetView>
  </sheetViews>
  <sheetFormatPr defaultRowHeight="15.75" x14ac:dyDescent="0.25"/>
  <cols>
    <col min="1" max="1" width="8.44140625" bestFit="1" customWidth="1"/>
    <col min="2" max="7" width="6.77734375" bestFit="1" customWidth="1"/>
    <col min="8" max="12" width="6.77734375" customWidth="1"/>
    <col min="13" max="17" width="6.77734375" bestFit="1" customWidth="1"/>
    <col min="18" max="25" width="12" bestFit="1" customWidth="1"/>
    <col min="26" max="30" width="6.77734375" bestFit="1" customWidth="1"/>
    <col min="31" max="36" width="13.5546875" bestFit="1" customWidth="1"/>
    <col min="37" max="38" width="13.109375" bestFit="1" customWidth="1"/>
    <col min="39" max="46" width="12" bestFit="1" customWidth="1"/>
    <col min="47" max="47" width="7.5546875" bestFit="1" customWidth="1"/>
    <col min="48" max="58" width="6.77734375" bestFit="1" customWidth="1"/>
  </cols>
  <sheetData>
    <row r="1" spans="1:12" ht="17.25" x14ac:dyDescent="0.3">
      <c r="A1" s="9" t="s">
        <v>16</v>
      </c>
      <c r="B1" s="9" t="s">
        <v>22</v>
      </c>
      <c r="C1" s="9" t="s">
        <v>23</v>
      </c>
      <c r="D1" s="9" t="s">
        <v>24</v>
      </c>
      <c r="E1" s="9" t="s">
        <v>25</v>
      </c>
      <c r="F1" s="9" t="s">
        <v>26</v>
      </c>
      <c r="G1" s="9" t="s">
        <v>27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</row>
    <row r="2" spans="1:12" ht="17.25" x14ac:dyDescent="0.3">
      <c r="A2" s="9" t="s">
        <v>13</v>
      </c>
      <c r="B2" s="9">
        <v>18384</v>
      </c>
      <c r="C2" s="9">
        <v>18814</v>
      </c>
      <c r="D2" s="9">
        <v>19182</v>
      </c>
      <c r="E2" s="9">
        <v>19507</v>
      </c>
      <c r="F2" s="9">
        <v>19800</v>
      </c>
      <c r="G2" s="9">
        <v>20012</v>
      </c>
      <c r="H2">
        <v>20265</v>
      </c>
      <c r="I2">
        <v>20498</v>
      </c>
      <c r="J2">
        <v>20710</v>
      </c>
      <c r="K2">
        <v>20908</v>
      </c>
      <c r="L2">
        <v>21087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A89F-57FC-42AB-B4F3-4886AC525D38}">
  <sheetPr codeName="Sheet7">
    <tabColor rgb="FFFFFF00"/>
  </sheetPr>
  <dimension ref="A1:M4"/>
  <sheetViews>
    <sheetView zoomScale="130" zoomScaleNormal="130" workbookViewId="0">
      <selection activeCell="A2" sqref="A2"/>
    </sheetView>
  </sheetViews>
  <sheetFormatPr defaultColWidth="11.5546875" defaultRowHeight="15.75" x14ac:dyDescent="0.25"/>
  <cols>
    <col min="2" max="12" width="11.5546875" style="6"/>
  </cols>
  <sheetData>
    <row r="1" spans="1:13" ht="17.25" x14ac:dyDescent="0.3">
      <c r="A1" s="9" t="str" cm="1">
        <f t="array" ref="A1:L2">Exhibit7[#All]</f>
        <v>region</v>
      </c>
      <c r="B1" s="10" t="str">
        <v>2024</v>
      </c>
      <c r="C1" s="10" t="str">
        <v>2025</v>
      </c>
      <c r="D1" s="10" t="str">
        <v>2026</v>
      </c>
      <c r="E1" s="10" t="str">
        <v>2027</v>
      </c>
      <c r="F1" s="10" t="str">
        <v>2028</v>
      </c>
      <c r="G1" s="10" t="str">
        <v>2029</v>
      </c>
      <c r="H1" s="10" t="str">
        <v>2030</v>
      </c>
      <c r="I1" s="10" t="str">
        <v>2031</v>
      </c>
      <c r="J1" s="10" t="str">
        <v>2032</v>
      </c>
      <c r="K1" s="10" t="str">
        <v>2033</v>
      </c>
      <c r="L1" s="10" t="str">
        <v>2034</v>
      </c>
    </row>
    <row r="2" spans="1:13" ht="17.25" x14ac:dyDescent="0.3">
      <c r="A2" s="11" t="str">
        <v>California</v>
      </c>
      <c r="B2" s="12">
        <v>18384</v>
      </c>
      <c r="C2" s="12">
        <v>18814</v>
      </c>
      <c r="D2" s="12">
        <v>19182</v>
      </c>
      <c r="E2" s="12">
        <v>19507</v>
      </c>
      <c r="F2" s="12">
        <v>19800</v>
      </c>
      <c r="G2" s="12">
        <v>20012</v>
      </c>
      <c r="H2" s="12">
        <v>20265</v>
      </c>
      <c r="I2" s="12">
        <v>20498</v>
      </c>
      <c r="J2" s="12">
        <v>20710</v>
      </c>
      <c r="K2" s="13">
        <v>20908</v>
      </c>
      <c r="L2" s="12">
        <v>21087</v>
      </c>
      <c r="M2" s="5"/>
    </row>
    <row r="3" spans="1:13" x14ac:dyDescent="0.25">
      <c r="K3" s="8"/>
    </row>
    <row r="4" spans="1:13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2"/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BD169-8CC4-4180-B64A-E3B06B979A86}">
  <sheetPr codeName="Sheet4">
    <tabColor rgb="FFFFFF00"/>
  </sheetPr>
  <dimension ref="A1:L3"/>
  <sheetViews>
    <sheetView workbookViewId="0">
      <selection activeCell="D3" sqref="D3"/>
    </sheetView>
  </sheetViews>
  <sheetFormatPr defaultRowHeight="15.75" x14ac:dyDescent="0.25"/>
  <cols>
    <col min="1" max="1" width="7.88671875" bestFit="1" customWidth="1"/>
    <col min="2" max="7" width="6.77734375" bestFit="1" customWidth="1"/>
    <col min="8" max="12" width="6.77734375" customWidth="1"/>
    <col min="13" max="28" width="6.77734375" bestFit="1" customWidth="1"/>
    <col min="29" max="29" width="16.44140625" bestFit="1" customWidth="1"/>
    <col min="30" max="30" width="24.44140625" bestFit="1" customWidth="1"/>
    <col min="31" max="31" width="28.6640625" bestFit="1" customWidth="1"/>
    <col min="32" max="32" width="16.109375" bestFit="1" customWidth="1"/>
    <col min="33" max="33" width="27.5546875" bestFit="1" customWidth="1"/>
    <col min="34" max="34" width="8.33203125" bestFit="1" customWidth="1"/>
    <col min="35" max="43" width="6.77734375" bestFit="1" customWidth="1"/>
    <col min="44" max="55" width="6.77734375" customWidth="1"/>
  </cols>
  <sheetData>
    <row r="1" spans="1:12" x14ac:dyDescent="0.25">
      <c r="A1" t="s">
        <v>16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</row>
    <row r="2" spans="1:12" x14ac:dyDescent="0.25">
      <c r="A2" t="s">
        <v>28</v>
      </c>
      <c r="B2">
        <v>0.01</v>
      </c>
      <c r="C2">
        <v>0.04</v>
      </c>
      <c r="D2">
        <v>0.06</v>
      </c>
      <c r="E2">
        <v>0.02</v>
      </c>
      <c r="F2">
        <v>0.02</v>
      </c>
      <c r="G2">
        <v>0.05</v>
      </c>
      <c r="H2">
        <v>0.03</v>
      </c>
      <c r="I2">
        <v>0.05</v>
      </c>
      <c r="J2">
        <v>0.04</v>
      </c>
      <c r="K2">
        <v>0.05</v>
      </c>
      <c r="L2">
        <v>0.11</v>
      </c>
    </row>
    <row r="3" spans="1:12" x14ac:dyDescent="0.25">
      <c r="A3" t="s">
        <v>13</v>
      </c>
      <c r="B3">
        <v>0</v>
      </c>
      <c r="C3">
        <v>0.03</v>
      </c>
      <c r="D3">
        <v>7.0000000000000007E-2</v>
      </c>
      <c r="E3">
        <v>0.01</v>
      </c>
      <c r="F3">
        <v>0.01</v>
      </c>
      <c r="G3">
        <v>0.03</v>
      </c>
      <c r="H3">
        <v>-0.03</v>
      </c>
      <c r="I3">
        <v>0.04</v>
      </c>
      <c r="J3">
        <v>0</v>
      </c>
      <c r="K3">
        <v>0.01</v>
      </c>
      <c r="L3">
        <v>0.09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M23"/>
  <sheetViews>
    <sheetView zoomScale="130" zoomScaleNormal="130" workbookViewId="0">
      <selection sqref="A1:L3"/>
    </sheetView>
  </sheetViews>
  <sheetFormatPr defaultColWidth="11.5546875" defaultRowHeight="15.75" x14ac:dyDescent="0.25"/>
  <cols>
    <col min="1" max="1" width="21.6640625" customWidth="1"/>
    <col min="2" max="5" width="11.5546875" style="3"/>
    <col min="6" max="12" width="11.5546875" style="6"/>
  </cols>
  <sheetData>
    <row r="1" spans="1:13" ht="17.25" x14ac:dyDescent="0.3">
      <c r="A1" s="9" t="str" cm="1">
        <f t="array" ref="A1:L3">Exhibit9[#All]</f>
        <v>region</v>
      </c>
      <c r="B1" s="14" t="str">
        <v>2014</v>
      </c>
      <c r="C1" s="14" t="str">
        <v>2015</v>
      </c>
      <c r="D1" s="14" t="str">
        <v>2016</v>
      </c>
      <c r="E1" s="14" t="str">
        <v>2017</v>
      </c>
      <c r="F1" s="10" t="str">
        <v>2018</v>
      </c>
      <c r="G1" s="10" t="str">
        <v>2019</v>
      </c>
      <c r="H1" s="10" t="str">
        <v>2020</v>
      </c>
      <c r="I1" s="10" t="str">
        <v>2021</v>
      </c>
      <c r="J1" s="10" t="str">
        <v>2022</v>
      </c>
      <c r="K1" s="10" t="str">
        <v>2023</v>
      </c>
      <c r="L1" s="10" t="str">
        <v>2024</v>
      </c>
    </row>
    <row r="2" spans="1:13" ht="17.25" x14ac:dyDescent="0.3">
      <c r="A2" s="9" t="str">
        <v>CVML</v>
      </c>
      <c r="B2" s="11">
        <v>0.01</v>
      </c>
      <c r="C2" s="11">
        <v>0.04</v>
      </c>
      <c r="D2" s="11">
        <v>0.06</v>
      </c>
      <c r="E2" s="11">
        <v>0.02</v>
      </c>
      <c r="F2" s="11">
        <v>0.02</v>
      </c>
      <c r="G2" s="11">
        <v>0.05</v>
      </c>
      <c r="H2" s="11">
        <v>0.03</v>
      </c>
      <c r="I2" s="11">
        <v>0.05</v>
      </c>
      <c r="J2" s="11">
        <v>0.04</v>
      </c>
      <c r="K2" s="11">
        <v>0.05</v>
      </c>
      <c r="L2" s="11">
        <v>0.11</v>
      </c>
      <c r="M2" s="1"/>
    </row>
    <row r="3" spans="1:13" ht="17.25" x14ac:dyDescent="0.3">
      <c r="A3" s="9" t="str">
        <v>California</v>
      </c>
      <c r="B3" s="11">
        <v>0</v>
      </c>
      <c r="C3" s="11">
        <v>0.03</v>
      </c>
      <c r="D3" s="11">
        <v>7.0000000000000007E-2</v>
      </c>
      <c r="E3" s="11">
        <v>0.01</v>
      </c>
      <c r="F3" s="11">
        <v>0.01</v>
      </c>
      <c r="G3" s="11">
        <v>0.03</v>
      </c>
      <c r="H3" s="11">
        <v>-0.03</v>
      </c>
      <c r="I3" s="11">
        <v>0.04</v>
      </c>
      <c r="J3" s="11">
        <v>0</v>
      </c>
      <c r="K3" s="11">
        <v>0.01</v>
      </c>
      <c r="L3" s="11">
        <v>0.09</v>
      </c>
      <c r="M3" s="1"/>
    </row>
    <row r="4" spans="1:13" x14ac:dyDescent="0.25">
      <c r="M4" s="1"/>
    </row>
    <row r="5" spans="1:13" x14ac:dyDescent="0.25">
      <c r="M5" s="1"/>
    </row>
    <row r="6" spans="1:13" x14ac:dyDescent="0.25">
      <c r="M6" s="1"/>
    </row>
    <row r="23" spans="1:1" x14ac:dyDescent="0.25">
      <c r="A23" s="1" t="s">
        <v>9</v>
      </c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77823-8EDA-44F3-88A2-7F25EC3A600A}">
  <sheetPr codeName="Sheet12">
    <tabColor rgb="FFFFFF00"/>
  </sheetPr>
  <dimension ref="A1:D2"/>
  <sheetViews>
    <sheetView workbookViewId="0">
      <selection activeCell="C13" sqref="C13"/>
    </sheetView>
  </sheetViews>
  <sheetFormatPr defaultRowHeight="15.75" x14ac:dyDescent="0.25"/>
  <cols>
    <col min="1" max="1" width="18.44140625" bestFit="1" customWidth="1"/>
    <col min="2" max="2" width="26.6640625" bestFit="1" customWidth="1"/>
    <col min="3" max="3" width="23.5546875" bestFit="1" customWidth="1"/>
    <col min="4" max="4" width="27.6640625" bestFit="1" customWidth="1"/>
  </cols>
  <sheetData>
    <row r="1" spans="1:4" ht="17.25" x14ac:dyDescent="0.3">
      <c r="A1" s="9" t="s">
        <v>10</v>
      </c>
      <c r="B1" s="9" t="s">
        <v>1</v>
      </c>
      <c r="C1" s="9" t="s">
        <v>2</v>
      </c>
      <c r="D1" s="9" t="s">
        <v>3</v>
      </c>
    </row>
    <row r="2" spans="1:4" ht="17.25" x14ac:dyDescent="0.3">
      <c r="A2" s="9" t="s">
        <v>29</v>
      </c>
      <c r="B2" s="9">
        <v>38.880000000000003</v>
      </c>
      <c r="C2" s="9">
        <v>45.08</v>
      </c>
      <c r="D2" s="9">
        <v>53.15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FFFF00"/>
  </sheetPr>
  <dimension ref="A1:K41"/>
  <sheetViews>
    <sheetView tabSelected="1" zoomScale="145" zoomScaleNormal="145" workbookViewId="0">
      <selection activeCell="C21" sqref="C21"/>
    </sheetView>
  </sheetViews>
  <sheetFormatPr defaultColWidth="11.5546875" defaultRowHeight="15.75" x14ac:dyDescent="0.25"/>
  <cols>
    <col min="1" max="1" width="29.109375" customWidth="1"/>
    <col min="2" max="2" width="22.44140625" style="4" customWidth="1"/>
    <col min="3" max="3" width="19.6640625" style="4" customWidth="1"/>
    <col min="4" max="4" width="28.6640625" style="4" customWidth="1"/>
    <col min="7" max="7" width="20" style="4" customWidth="1"/>
    <col min="8" max="9" width="11.5546875" style="4"/>
  </cols>
  <sheetData>
    <row r="1" spans="1:11" ht="17.25" x14ac:dyDescent="0.3">
      <c r="A1" s="9"/>
      <c r="B1" s="16"/>
      <c r="C1" s="16"/>
      <c r="D1" s="16"/>
      <c r="E1" s="9"/>
      <c r="F1" s="17" t="s">
        <v>4</v>
      </c>
      <c r="G1" s="18" t="s">
        <v>14</v>
      </c>
      <c r="H1" s="18" t="s">
        <v>4</v>
      </c>
      <c r="I1" s="18" t="s">
        <v>15</v>
      </c>
      <c r="J1" s="9"/>
      <c r="K1" s="9"/>
    </row>
    <row r="2" spans="1:11" ht="17.25" x14ac:dyDescent="0.3">
      <c r="A2" s="9"/>
      <c r="B2" s="16"/>
      <c r="C2" s="16"/>
      <c r="D2" s="16"/>
      <c r="E2" s="9"/>
      <c r="F2" s="17">
        <v>0</v>
      </c>
      <c r="G2" s="18">
        <v>16.48</v>
      </c>
      <c r="H2" s="18">
        <v>0</v>
      </c>
      <c r="I2" s="18">
        <v>33.49</v>
      </c>
      <c r="J2" s="9"/>
      <c r="K2" s="9"/>
    </row>
    <row r="3" spans="1:11" ht="17.25" x14ac:dyDescent="0.3">
      <c r="A3" s="9"/>
      <c r="B3" s="16"/>
      <c r="C3" s="16"/>
      <c r="D3" s="16"/>
      <c r="E3" s="9"/>
      <c r="F3" s="17">
        <v>1</v>
      </c>
      <c r="G3" s="18">
        <v>16.48</v>
      </c>
      <c r="H3" s="18">
        <v>1</v>
      </c>
      <c r="I3" s="18">
        <v>33.49</v>
      </c>
      <c r="J3" s="9"/>
      <c r="K3" s="9"/>
    </row>
    <row r="4" spans="1:11" ht="17.25" x14ac:dyDescent="0.3">
      <c r="A4" s="9"/>
      <c r="B4" s="16"/>
      <c r="C4" s="16"/>
      <c r="D4" s="16"/>
      <c r="E4" s="9"/>
      <c r="F4" s="9"/>
      <c r="G4" s="18"/>
      <c r="H4" s="16"/>
      <c r="I4" s="16"/>
      <c r="J4" s="9"/>
      <c r="K4" s="9"/>
    </row>
    <row r="5" spans="1:11" ht="17.25" x14ac:dyDescent="0.3">
      <c r="A5" s="9"/>
      <c r="B5" s="16"/>
      <c r="C5" s="16"/>
      <c r="D5" s="16"/>
      <c r="E5" s="9"/>
      <c r="F5" s="9"/>
      <c r="G5" s="18"/>
      <c r="H5" s="16"/>
      <c r="I5" s="16"/>
      <c r="J5" s="9"/>
      <c r="K5" s="9"/>
    </row>
    <row r="6" spans="1:11" ht="17.25" x14ac:dyDescent="0.3">
      <c r="A6" s="9"/>
      <c r="B6" s="16"/>
      <c r="C6" s="16"/>
      <c r="D6" s="16"/>
      <c r="E6" s="9"/>
      <c r="F6" s="9"/>
      <c r="G6" s="18"/>
      <c r="H6" s="16"/>
      <c r="I6" s="16"/>
      <c r="J6" s="9"/>
      <c r="K6" s="9"/>
    </row>
    <row r="7" spans="1:11" ht="17.25" x14ac:dyDescent="0.3">
      <c r="A7" s="9"/>
      <c r="B7" s="16"/>
      <c r="C7" s="16"/>
      <c r="D7" s="16"/>
      <c r="E7" s="9"/>
      <c r="F7" s="9"/>
      <c r="G7" s="16"/>
      <c r="H7" s="16"/>
      <c r="I7" s="16"/>
      <c r="J7" s="9"/>
      <c r="K7" s="9"/>
    </row>
    <row r="8" spans="1:11" ht="17.25" x14ac:dyDescent="0.3">
      <c r="A8" s="9"/>
      <c r="B8" s="16"/>
      <c r="C8" s="16"/>
      <c r="D8" s="16"/>
      <c r="E8" s="9"/>
      <c r="F8" s="9"/>
      <c r="G8" s="16"/>
      <c r="H8" s="16"/>
      <c r="I8" s="16"/>
      <c r="J8" s="9"/>
      <c r="K8" s="9"/>
    </row>
    <row r="9" spans="1:11" ht="17.25" x14ac:dyDescent="0.3">
      <c r="A9" s="9"/>
      <c r="B9" s="16"/>
      <c r="C9" s="16"/>
      <c r="D9" s="16"/>
      <c r="E9" s="9"/>
      <c r="F9" s="9"/>
      <c r="G9" s="16"/>
      <c r="H9" s="16"/>
      <c r="I9" s="16"/>
      <c r="J9" s="9"/>
      <c r="K9" s="9"/>
    </row>
    <row r="10" spans="1:11" ht="17.25" x14ac:dyDescent="0.3">
      <c r="A10" s="9"/>
      <c r="B10" s="16"/>
      <c r="C10" s="16"/>
      <c r="D10" s="16"/>
      <c r="E10" s="9"/>
      <c r="F10" s="9"/>
      <c r="G10" s="16"/>
      <c r="H10" s="16"/>
      <c r="I10" s="16"/>
      <c r="J10" s="9"/>
      <c r="K10" s="9"/>
    </row>
    <row r="11" spans="1:11" ht="17.25" x14ac:dyDescent="0.3">
      <c r="A11" s="9"/>
      <c r="B11" s="16"/>
      <c r="C11" s="16"/>
      <c r="D11" s="16"/>
      <c r="E11" s="9"/>
      <c r="F11" s="9"/>
      <c r="G11" s="16"/>
      <c r="H11" s="16"/>
      <c r="I11" s="16"/>
      <c r="J11" s="9"/>
      <c r="K11" s="9"/>
    </row>
    <row r="12" spans="1:11" ht="17.25" x14ac:dyDescent="0.3">
      <c r="A12" s="9"/>
      <c r="B12" s="16"/>
      <c r="C12" s="16"/>
      <c r="D12" s="16"/>
      <c r="E12" s="9"/>
      <c r="F12" s="9"/>
      <c r="G12" s="16"/>
      <c r="H12" s="16"/>
      <c r="I12" s="16"/>
      <c r="J12" s="9"/>
      <c r="K12" s="9"/>
    </row>
    <row r="13" spans="1:11" ht="17.25" x14ac:dyDescent="0.3">
      <c r="A13" s="9"/>
      <c r="B13" s="16"/>
      <c r="C13" s="16"/>
      <c r="D13" s="16"/>
      <c r="E13" s="9"/>
      <c r="F13" s="9"/>
      <c r="G13" s="16"/>
      <c r="H13" s="16"/>
      <c r="I13" s="16"/>
      <c r="J13" s="9"/>
      <c r="K13" s="9"/>
    </row>
    <row r="14" spans="1:11" ht="17.25" x14ac:dyDescent="0.3">
      <c r="A14" s="9"/>
      <c r="B14" s="16"/>
      <c r="C14" s="16"/>
      <c r="D14" s="16"/>
      <c r="E14" s="9"/>
      <c r="F14" s="9"/>
      <c r="G14" s="16"/>
      <c r="H14" s="16"/>
      <c r="I14" s="16"/>
      <c r="J14" s="9"/>
      <c r="K14" s="9"/>
    </row>
    <row r="15" spans="1:11" ht="17.25" x14ac:dyDescent="0.3">
      <c r="A15" s="9"/>
      <c r="B15" s="16"/>
      <c r="C15" s="16"/>
      <c r="D15" s="16"/>
      <c r="E15" s="9"/>
      <c r="F15" s="9"/>
      <c r="G15" s="16"/>
      <c r="H15" s="16"/>
      <c r="I15" s="16"/>
      <c r="J15" s="9"/>
      <c r="K15" s="9"/>
    </row>
    <row r="16" spans="1:11" ht="17.25" x14ac:dyDescent="0.3">
      <c r="A16" s="9"/>
      <c r="B16" s="16"/>
      <c r="C16" s="16"/>
      <c r="D16" s="16"/>
      <c r="E16" s="9"/>
      <c r="F16" s="9"/>
      <c r="G16" s="16"/>
      <c r="H16" s="16"/>
      <c r="I16" s="16"/>
      <c r="J16" s="9"/>
      <c r="K16" s="9"/>
    </row>
    <row r="17" spans="1:11" ht="17.25" x14ac:dyDescent="0.3">
      <c r="A17" s="9"/>
      <c r="B17" s="16"/>
      <c r="C17" s="16"/>
      <c r="D17" s="16"/>
      <c r="E17" s="9"/>
      <c r="F17" s="9"/>
      <c r="G17" s="16"/>
      <c r="H17" s="16"/>
      <c r="I17" s="16"/>
      <c r="J17" s="9"/>
      <c r="K17" s="9"/>
    </row>
    <row r="18" spans="1:11" ht="17.25" x14ac:dyDescent="0.3">
      <c r="A18" s="9"/>
      <c r="B18" s="18"/>
      <c r="C18" s="19"/>
      <c r="D18" s="19"/>
      <c r="E18" s="9"/>
      <c r="F18" s="9"/>
      <c r="G18" s="16"/>
      <c r="H18" s="16"/>
      <c r="I18" s="16"/>
      <c r="J18" s="9"/>
      <c r="K18" s="9"/>
    </row>
    <row r="19" spans="1:11" ht="17.25" x14ac:dyDescent="0.3">
      <c r="A19" s="9"/>
      <c r="B19" s="16"/>
      <c r="C19" s="16"/>
      <c r="D19" s="16"/>
      <c r="E19" s="9"/>
      <c r="F19" s="9"/>
      <c r="G19" s="16"/>
      <c r="H19" s="16"/>
      <c r="I19" s="16"/>
      <c r="J19" s="9"/>
      <c r="K19" s="9"/>
    </row>
    <row r="20" spans="1:11" ht="17.25" x14ac:dyDescent="0.3">
      <c r="A20" s="17" t="s">
        <v>0</v>
      </c>
      <c r="B20" s="18" t="s">
        <v>1</v>
      </c>
      <c r="C20" s="18" t="s">
        <v>2</v>
      </c>
      <c r="D20" s="18" t="s">
        <v>3</v>
      </c>
      <c r="E20" s="9"/>
      <c r="F20" s="17" t="s">
        <v>0</v>
      </c>
      <c r="G20" s="18" t="s">
        <v>1</v>
      </c>
      <c r="H20" s="18" t="s">
        <v>2</v>
      </c>
      <c r="I20" s="18" t="s">
        <v>3</v>
      </c>
      <c r="J20" s="9"/>
      <c r="K20" s="9"/>
    </row>
    <row r="21" spans="1:11" ht="17.25" x14ac:dyDescent="0.3">
      <c r="A21" s="9" t="str" cm="1">
        <f t="array" ref="A21:D21">Exhibit13[]</f>
        <v>Respiratory Therapists</v>
      </c>
      <c r="B21" s="20">
        <v>38.880000000000003</v>
      </c>
      <c r="C21" s="20">
        <v>45.08</v>
      </c>
      <c r="D21" s="21">
        <v>53.15</v>
      </c>
      <c r="E21" s="9"/>
      <c r="F21" s="9" t="str" cm="1">
        <f t="array" ref="F21:G21">A21:B21</f>
        <v>Respiratory Therapists</v>
      </c>
      <c r="G21" s="20">
        <v>38.880000000000003</v>
      </c>
      <c r="H21" s="20">
        <f t="shared" ref="H21:I21" si="0">C21-B21</f>
        <v>6.1999999999999957</v>
      </c>
      <c r="I21" s="20">
        <f t="shared" si="0"/>
        <v>8.07</v>
      </c>
      <c r="J21" s="9"/>
      <c r="K21" s="9"/>
    </row>
    <row r="22" spans="1:11" ht="17.25" x14ac:dyDescent="0.3">
      <c r="F22" s="9" cm="1">
        <f t="array" ref="F22:G22">A22:B22</f>
        <v>0</v>
      </c>
      <c r="G22" s="20">
        <v>0</v>
      </c>
      <c r="H22" s="20">
        <f t="shared" ref="H22:H40" si="1">C22-B22</f>
        <v>0</v>
      </c>
      <c r="I22" s="20">
        <f t="shared" ref="I22:I40" si="2">D22-C22</f>
        <v>0</v>
      </c>
    </row>
    <row r="23" spans="1:11" ht="17.25" x14ac:dyDescent="0.3">
      <c r="F23" s="9" cm="1">
        <f t="array" ref="F23:G23">A23:B23</f>
        <v>0</v>
      </c>
      <c r="G23" s="20">
        <v>0</v>
      </c>
      <c r="H23" s="20">
        <f t="shared" si="1"/>
        <v>0</v>
      </c>
      <c r="I23" s="20">
        <f t="shared" si="2"/>
        <v>0</v>
      </c>
    </row>
    <row r="24" spans="1:11" ht="17.25" x14ac:dyDescent="0.3">
      <c r="F24" s="9" cm="1">
        <f t="array" ref="F24:G24">A24:B24</f>
        <v>0</v>
      </c>
      <c r="G24" s="20">
        <v>0</v>
      </c>
      <c r="H24" s="20">
        <f t="shared" si="1"/>
        <v>0</v>
      </c>
      <c r="I24" s="20">
        <f t="shared" si="2"/>
        <v>0</v>
      </c>
    </row>
    <row r="25" spans="1:11" ht="17.25" x14ac:dyDescent="0.3">
      <c r="F25" s="9" cm="1">
        <f t="array" ref="F25:G25">A25:B25</f>
        <v>0</v>
      </c>
      <c r="G25" s="20">
        <v>0</v>
      </c>
      <c r="H25" s="20">
        <f t="shared" si="1"/>
        <v>0</v>
      </c>
      <c r="I25" s="20">
        <f t="shared" si="2"/>
        <v>0</v>
      </c>
    </row>
    <row r="26" spans="1:11" ht="17.25" x14ac:dyDescent="0.3">
      <c r="F26" s="9" cm="1">
        <f t="array" ref="F26:G26">A26:B26</f>
        <v>0</v>
      </c>
      <c r="G26" s="20">
        <v>0</v>
      </c>
      <c r="H26" s="20">
        <f t="shared" si="1"/>
        <v>0</v>
      </c>
      <c r="I26" s="20">
        <f t="shared" si="2"/>
        <v>0</v>
      </c>
    </row>
    <row r="27" spans="1:11" ht="17.25" x14ac:dyDescent="0.3">
      <c r="F27" s="9" cm="1">
        <f t="array" ref="F27:G27">A27:B27</f>
        <v>0</v>
      </c>
      <c r="G27" s="20">
        <v>0</v>
      </c>
      <c r="H27" s="20">
        <f t="shared" si="1"/>
        <v>0</v>
      </c>
      <c r="I27" s="20">
        <f t="shared" si="2"/>
        <v>0</v>
      </c>
    </row>
    <row r="28" spans="1:11" ht="17.25" x14ac:dyDescent="0.3">
      <c r="F28" s="9" cm="1">
        <f t="array" ref="F28:G28">A28:B28</f>
        <v>0</v>
      </c>
      <c r="G28" s="20">
        <v>0</v>
      </c>
      <c r="H28" s="20">
        <f t="shared" si="1"/>
        <v>0</v>
      </c>
      <c r="I28" s="20">
        <f t="shared" si="2"/>
        <v>0</v>
      </c>
    </row>
    <row r="29" spans="1:11" ht="17.25" x14ac:dyDescent="0.3">
      <c r="F29" s="9" cm="1">
        <f t="array" ref="F29:G29">A29:B29</f>
        <v>0</v>
      </c>
      <c r="G29" s="20">
        <v>0</v>
      </c>
      <c r="H29" s="20">
        <f t="shared" si="1"/>
        <v>0</v>
      </c>
      <c r="I29" s="20">
        <f t="shared" si="2"/>
        <v>0</v>
      </c>
    </row>
    <row r="30" spans="1:11" ht="17.25" x14ac:dyDescent="0.3">
      <c r="F30" s="9" cm="1">
        <f t="array" ref="F30:G30">A30:B30</f>
        <v>0</v>
      </c>
      <c r="G30" s="20">
        <v>0</v>
      </c>
      <c r="H30" s="20">
        <f t="shared" si="1"/>
        <v>0</v>
      </c>
      <c r="I30" s="20">
        <f t="shared" si="2"/>
        <v>0</v>
      </c>
    </row>
    <row r="31" spans="1:11" ht="17.25" x14ac:dyDescent="0.3">
      <c r="F31" s="9" cm="1">
        <f t="array" ref="F31:G31">A31:B31</f>
        <v>0</v>
      </c>
      <c r="G31" s="20">
        <v>0</v>
      </c>
      <c r="H31" s="20">
        <f t="shared" si="1"/>
        <v>0</v>
      </c>
      <c r="I31" s="20">
        <f t="shared" si="2"/>
        <v>0</v>
      </c>
    </row>
    <row r="32" spans="1:11" ht="17.25" x14ac:dyDescent="0.3">
      <c r="F32" s="9" cm="1">
        <f t="array" ref="F32:G32">A32:B32</f>
        <v>0</v>
      </c>
      <c r="G32" s="20">
        <v>0</v>
      </c>
      <c r="H32" s="20">
        <f t="shared" si="1"/>
        <v>0</v>
      </c>
      <c r="I32" s="20">
        <f t="shared" si="2"/>
        <v>0</v>
      </c>
    </row>
    <row r="33" spans="2:9" ht="17.25" x14ac:dyDescent="0.3">
      <c r="F33" s="9" cm="1">
        <f t="array" ref="F33:G33">A33:B33</f>
        <v>0</v>
      </c>
      <c r="G33" s="20">
        <v>0</v>
      </c>
      <c r="H33" s="20">
        <f t="shared" si="1"/>
        <v>0</v>
      </c>
      <c r="I33" s="20">
        <f t="shared" si="2"/>
        <v>0</v>
      </c>
    </row>
    <row r="34" spans="2:9" ht="17.25" x14ac:dyDescent="0.3">
      <c r="F34" s="9" cm="1">
        <f t="array" ref="F34:G34">A34:B34</f>
        <v>0</v>
      </c>
      <c r="G34" s="20">
        <v>0</v>
      </c>
      <c r="H34" s="20">
        <f t="shared" si="1"/>
        <v>0</v>
      </c>
      <c r="I34" s="20">
        <f t="shared" si="2"/>
        <v>0</v>
      </c>
    </row>
    <row r="35" spans="2:9" ht="17.25" x14ac:dyDescent="0.3">
      <c r="F35" s="9" cm="1">
        <f t="array" ref="F35:G35">A35:B35</f>
        <v>0</v>
      </c>
      <c r="G35" s="20">
        <v>0</v>
      </c>
      <c r="H35" s="20">
        <f t="shared" si="1"/>
        <v>0</v>
      </c>
      <c r="I35" s="20">
        <f t="shared" si="2"/>
        <v>0</v>
      </c>
    </row>
    <row r="36" spans="2:9" ht="17.25" x14ac:dyDescent="0.3">
      <c r="F36" s="9" cm="1">
        <f t="array" ref="F36:G36">A36:B36</f>
        <v>0</v>
      </c>
      <c r="G36" s="20">
        <v>0</v>
      </c>
      <c r="H36" s="20">
        <f t="shared" si="1"/>
        <v>0</v>
      </c>
      <c r="I36" s="20">
        <f t="shared" si="2"/>
        <v>0</v>
      </c>
    </row>
    <row r="37" spans="2:9" ht="17.25" x14ac:dyDescent="0.3">
      <c r="F37" s="9" cm="1">
        <f t="array" ref="F37:G37">A37:B37</f>
        <v>0</v>
      </c>
      <c r="G37" s="20">
        <v>0</v>
      </c>
      <c r="H37" s="20">
        <f t="shared" si="1"/>
        <v>0</v>
      </c>
      <c r="I37" s="20">
        <f t="shared" si="2"/>
        <v>0</v>
      </c>
    </row>
    <row r="38" spans="2:9" ht="17.25" x14ac:dyDescent="0.3">
      <c r="F38" s="9" cm="1">
        <f t="array" ref="F38:G38">A38:B38</f>
        <v>0</v>
      </c>
      <c r="G38" s="20">
        <v>0</v>
      </c>
      <c r="H38" s="20">
        <f t="shared" si="1"/>
        <v>0</v>
      </c>
      <c r="I38" s="20">
        <f t="shared" si="2"/>
        <v>0</v>
      </c>
    </row>
    <row r="39" spans="2:9" ht="17.25" x14ac:dyDescent="0.3">
      <c r="F39" s="9" cm="1">
        <f t="array" ref="F39:G39">A39:B39</f>
        <v>0</v>
      </c>
      <c r="G39" s="20">
        <v>0</v>
      </c>
      <c r="H39" s="20">
        <f t="shared" si="1"/>
        <v>0</v>
      </c>
      <c r="I39" s="20">
        <f t="shared" si="2"/>
        <v>0</v>
      </c>
    </row>
    <row r="40" spans="2:9" ht="17.25" x14ac:dyDescent="0.3">
      <c r="F40" s="9" cm="1">
        <f t="array" ref="F40:G40">A40:B40</f>
        <v>0</v>
      </c>
      <c r="G40" s="20">
        <v>0</v>
      </c>
      <c r="H40" s="20">
        <f t="shared" si="1"/>
        <v>0</v>
      </c>
      <c r="I40" s="20">
        <f t="shared" si="2"/>
        <v>0</v>
      </c>
    </row>
    <row r="41" spans="2:9" s="24" customFormat="1" x14ac:dyDescent="0.25">
      <c r="B41" s="25"/>
      <c r="C41" s="25"/>
      <c r="D41" s="25"/>
      <c r="G41" s="25"/>
      <c r="H41" s="25"/>
      <c r="I41" s="25"/>
    </row>
  </sheetData>
  <pageMargins left="0.7" right="0.7" top="0.75" bottom="0.75" header="0.3" footer="0.3"/>
  <pageSetup paperSize="9" orientation="portrait" horizontalDpi="300" verticalDpi="30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118AFE-D516-476C-9B65-EFE204FE80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DynamicPath</vt:lpstr>
      <vt:lpstr>Exhibit2</vt:lpstr>
      <vt:lpstr>Exhibit 2 - Ed. Attainment</vt:lpstr>
      <vt:lpstr>Exhibit7</vt:lpstr>
      <vt:lpstr>Exhibit 7 - Job Count</vt:lpstr>
      <vt:lpstr>Exhibit9</vt:lpstr>
      <vt:lpstr>Exhibit 9 - Percentage Change</vt:lpstr>
      <vt:lpstr>Exhibit13</vt:lpstr>
      <vt:lpstr>Exhibit 13 - CVML WageChart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Ignacio Faria</cp:lastModifiedBy>
  <dcterms:created xsi:type="dcterms:W3CDTF">2023-10-13T16:18:52Z</dcterms:created>
  <dcterms:modified xsi:type="dcterms:W3CDTF">2025-09-08T21:18:27Z</dcterms:modified>
</cp:coreProperties>
</file>